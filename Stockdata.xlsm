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Chandrark\PycharmProjects\PycharmLearning\"/>
    </mc:Choice>
  </mc:AlternateContent>
  <xr:revisionPtr revIDLastSave="0" documentId="13_ncr:1_{EF1E3D01-9BCD-4518-9EB8-750D383E4C7E}" xr6:coauthVersionLast="47" xr6:coauthVersionMax="47" xr10:uidLastSave="{00000000-0000-0000-0000-000000000000}"/>
  <bookViews>
    <workbookView xWindow="-1140" yWindow="-13068" windowWidth="23256" windowHeight="12576" xr2:uid="{DA027DD4-A70C-4011-B3FC-92A34CC4A1C5}"/>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 i="1" l="1" a="1"/>
  <c r="O2" i="1" s="1"/>
  <c r="O3" i="1" a="1"/>
  <c r="O3" i="1" s="1"/>
  <c r="O4" i="1" a="1"/>
  <c r="O4" i="1" s="1"/>
  <c r="O5" i="1" a="1"/>
  <c r="O5" i="1" s="1"/>
  <c r="O6" i="1" a="1"/>
  <c r="O6" i="1" s="1"/>
  <c r="O7" i="1" a="1"/>
  <c r="O7" i="1" s="1"/>
  <c r="O8" i="1" a="1"/>
  <c r="O8" i="1" s="1"/>
  <c r="O9" i="1" a="1"/>
  <c r="O9" i="1" s="1"/>
  <c r="O10" i="1" a="1"/>
  <c r="O10" i="1" s="1"/>
  <c r="O11" i="1" a="1"/>
  <c r="O11" i="1" s="1"/>
  <c r="O12" i="1" a="1"/>
  <c r="O12" i="1" s="1"/>
  <c r="O13" i="1" a="1"/>
  <c r="O13" i="1" s="1"/>
  <c r="O14" i="1" a="1"/>
  <c r="O14" i="1" s="1"/>
  <c r="O15" i="1" a="1"/>
  <c r="O15" i="1" s="1"/>
  <c r="O16" i="1" a="1"/>
  <c r="O16" i="1" s="1"/>
  <c r="O17" i="1" a="1"/>
  <c r="O17" i="1" s="1"/>
  <c r="O18" i="1" a="1"/>
  <c r="O18" i="1" s="1"/>
  <c r="O19" i="1" a="1"/>
  <c r="O19" i="1" s="1"/>
  <c r="O20" i="1" a="1"/>
  <c r="O20" i="1" s="1"/>
  <c r="O21" i="1" a="1"/>
  <c r="O21" i="1" s="1"/>
  <c r="O22" i="1" a="1"/>
  <c r="O22" i="1" s="1"/>
  <c r="O23" i="1" a="1"/>
  <c r="O23" i="1" s="1"/>
  <c r="O24" i="1" a="1"/>
  <c r="O24" i="1" s="1"/>
  <c r="O25" i="1" a="1"/>
  <c r="O25" i="1" s="1"/>
  <c r="O26" i="1" a="1"/>
  <c r="O26" i="1" s="1"/>
  <c r="O27" i="1" a="1"/>
  <c r="O27" i="1" s="1"/>
  <c r="O28" i="1" a="1"/>
  <c r="O28" i="1" s="1"/>
  <c r="O29" i="1" a="1"/>
  <c r="O29" i="1" s="1"/>
  <c r="O30" i="1" a="1"/>
  <c r="O30" i="1" s="1"/>
  <c r="O31" i="1" a="1"/>
  <c r="O31" i="1" s="1"/>
  <c r="P2" i="1" a="1"/>
  <c r="P2" i="1" s="1"/>
  <c r="P3" i="1" a="1"/>
  <c r="P3" i="1" s="1"/>
  <c r="P4" i="1" a="1"/>
  <c r="P4" i="1" s="1"/>
  <c r="P5" i="1" a="1"/>
  <c r="P5" i="1" s="1"/>
  <c r="P6" i="1" a="1"/>
  <c r="P6" i="1" s="1"/>
  <c r="P7" i="1" a="1"/>
  <c r="P7" i="1" s="1"/>
  <c r="P8" i="1" a="1"/>
  <c r="P8" i="1" s="1"/>
  <c r="P9" i="1" a="1"/>
  <c r="P9" i="1" s="1"/>
  <c r="P10" i="1" a="1"/>
  <c r="P10" i="1" s="1"/>
  <c r="P11" i="1" a="1"/>
  <c r="P11" i="1" s="1"/>
  <c r="P12" i="1" a="1"/>
  <c r="P12" i="1" s="1"/>
  <c r="P13" i="1" a="1"/>
  <c r="P13" i="1" s="1"/>
  <c r="P14" i="1" a="1"/>
  <c r="P14" i="1" s="1"/>
  <c r="P15" i="1" a="1"/>
  <c r="P15" i="1" s="1"/>
  <c r="P16" i="1" a="1"/>
  <c r="P16" i="1" s="1"/>
  <c r="P17" i="1" a="1"/>
  <c r="P17" i="1" s="1"/>
  <c r="P18" i="1" a="1"/>
  <c r="P18" i="1" s="1"/>
  <c r="P19" i="1" a="1"/>
  <c r="P19" i="1" s="1"/>
  <c r="P20" i="1" a="1"/>
  <c r="P20" i="1" s="1"/>
  <c r="P21" i="1" a="1"/>
  <c r="P21" i="1" s="1"/>
  <c r="P22" i="1" a="1"/>
  <c r="P22" i="1" s="1"/>
  <c r="P23" i="1" a="1"/>
  <c r="P23" i="1" s="1"/>
  <c r="P24" i="1" a="1"/>
  <c r="P24" i="1" s="1"/>
  <c r="P25" i="1" a="1"/>
  <c r="P25" i="1" s="1"/>
  <c r="P26" i="1" a="1"/>
  <c r="P26" i="1" s="1"/>
  <c r="P27" i="1" a="1"/>
  <c r="P27" i="1" s="1"/>
  <c r="P28" i="1" a="1"/>
  <c r="P28" i="1" s="1"/>
  <c r="P29" i="1" a="1"/>
  <c r="P29" i="1" s="1"/>
  <c r="P30" i="1" a="1"/>
  <c r="P30" i="1" s="1"/>
  <c r="P31" i="1" a="1"/>
  <c r="P31" i="1" s="1"/>
  <c r="N2" i="1" a="1"/>
  <c r="N2" i="1" s="1"/>
  <c r="N3" i="1" a="1"/>
  <c r="N3" i="1" s="1"/>
  <c r="N4" i="1" a="1"/>
  <c r="N4" i="1" s="1"/>
  <c r="N5" i="1" a="1"/>
  <c r="N5" i="1" s="1"/>
  <c r="N6" i="1" a="1"/>
  <c r="N6" i="1" s="1"/>
  <c r="N7" i="1" a="1"/>
  <c r="N7" i="1" s="1"/>
  <c r="N8" i="1" a="1"/>
  <c r="N8" i="1" s="1"/>
  <c r="N9" i="1" a="1"/>
  <c r="N9" i="1" s="1"/>
  <c r="N10" i="1" a="1"/>
  <c r="N10" i="1" s="1"/>
  <c r="N11" i="1" a="1"/>
  <c r="N11" i="1" s="1"/>
  <c r="N12" i="1" a="1"/>
  <c r="N12" i="1" s="1"/>
  <c r="N13" i="1" a="1"/>
  <c r="N13" i="1" s="1"/>
  <c r="N14" i="1" a="1"/>
  <c r="N14" i="1" s="1"/>
  <c r="N15" i="1" a="1"/>
  <c r="N15" i="1" s="1"/>
  <c r="N16" i="1" a="1"/>
  <c r="N16" i="1" s="1"/>
  <c r="N17" i="1" a="1"/>
  <c r="N17" i="1" s="1"/>
  <c r="N18" i="1" a="1"/>
  <c r="N18" i="1" s="1"/>
  <c r="N19" i="1" a="1"/>
  <c r="N19" i="1" s="1"/>
  <c r="N20" i="1" a="1"/>
  <c r="N20" i="1" s="1"/>
  <c r="N21" i="1" a="1"/>
  <c r="N21" i="1" s="1"/>
  <c r="N22" i="1" a="1"/>
  <c r="N22" i="1" s="1"/>
  <c r="N23" i="1" a="1"/>
  <c r="N23" i="1" s="1"/>
  <c r="N24" i="1" a="1"/>
  <c r="N24" i="1" s="1"/>
  <c r="N25" i="1" a="1"/>
  <c r="N25" i="1" s="1"/>
  <c r="N26" i="1" a="1"/>
  <c r="N26" i="1" s="1"/>
  <c r="N27" i="1" a="1"/>
  <c r="N27" i="1" s="1"/>
  <c r="N28" i="1" a="1"/>
  <c r="N28" i="1" s="1"/>
  <c r="N29" i="1" a="1"/>
  <c r="N29" i="1" s="1"/>
  <c r="N30" i="1" a="1"/>
  <c r="N30" i="1" s="1"/>
  <c r="N31" i="1" a="1"/>
  <c r="N31" i="1" s="1"/>
  <c r="M2" i="1" a="1"/>
  <c r="M2" i="1" s="1"/>
  <c r="M3" i="1" a="1"/>
  <c r="M3" i="1" s="1"/>
  <c r="M4" i="1" a="1"/>
  <c r="M4" i="1" s="1"/>
  <c r="M5" i="1" a="1"/>
  <c r="M5" i="1" s="1"/>
  <c r="M6" i="1" a="1"/>
  <c r="M6" i="1" s="1"/>
  <c r="M7" i="1" a="1"/>
  <c r="M7" i="1" s="1"/>
  <c r="M8" i="1" a="1"/>
  <c r="M8" i="1" s="1"/>
  <c r="M9" i="1" a="1"/>
  <c r="M9" i="1" s="1"/>
  <c r="M10" i="1" a="1"/>
  <c r="M10" i="1" s="1"/>
  <c r="M11" i="1" a="1"/>
  <c r="M11" i="1" s="1"/>
  <c r="M12" i="1" a="1"/>
  <c r="M12" i="1" s="1"/>
  <c r="M13" i="1" a="1"/>
  <c r="M13" i="1" s="1"/>
  <c r="M14" i="1" a="1"/>
  <c r="M14" i="1" s="1"/>
  <c r="M15" i="1" a="1"/>
  <c r="M15" i="1" s="1"/>
  <c r="M16" i="1" a="1"/>
  <c r="M16" i="1" s="1"/>
  <c r="M17" i="1" a="1"/>
  <c r="M17" i="1" s="1"/>
  <c r="M18" i="1" a="1"/>
  <c r="M18" i="1" s="1"/>
  <c r="M19" i="1" a="1"/>
  <c r="M19" i="1" s="1"/>
  <c r="M20" i="1" a="1"/>
  <c r="M20" i="1" s="1"/>
  <c r="M21" i="1" a="1"/>
  <c r="M21" i="1" s="1"/>
  <c r="M22" i="1" a="1"/>
  <c r="M22" i="1" s="1"/>
  <c r="M23" i="1" a="1"/>
  <c r="M23" i="1" s="1"/>
  <c r="M24" i="1" a="1"/>
  <c r="M24" i="1" s="1"/>
  <c r="M25" i="1" a="1"/>
  <c r="M25" i="1" s="1"/>
  <c r="M26" i="1" a="1"/>
  <c r="M26" i="1" s="1"/>
  <c r="M27" i="1" a="1"/>
  <c r="M27" i="1" s="1"/>
  <c r="M28" i="1" a="1"/>
  <c r="M28" i="1" s="1"/>
  <c r="M29" i="1" a="1"/>
  <c r="M29" i="1" s="1"/>
  <c r="M30" i="1" a="1"/>
  <c r="M30" i="1" s="1"/>
  <c r="M31" i="1" a="1"/>
  <c r="M31" i="1" s="1"/>
  <c r="K2" i="1" a="1"/>
  <c r="K2" i="1" s="1"/>
  <c r="K3" i="1" a="1"/>
  <c r="K3" i="1" s="1"/>
  <c r="K4" i="1" a="1"/>
  <c r="K4" i="1" s="1"/>
  <c r="K5" i="1" a="1"/>
  <c r="K5" i="1" s="1"/>
  <c r="K6" i="1" a="1"/>
  <c r="K6" i="1" s="1"/>
  <c r="K7" i="1" a="1"/>
  <c r="K7" i="1" s="1"/>
  <c r="K8" i="1" a="1"/>
  <c r="K8" i="1" s="1"/>
  <c r="K9" i="1" a="1"/>
  <c r="K9" i="1" s="1"/>
  <c r="K10" i="1" a="1"/>
  <c r="K10" i="1" s="1"/>
  <c r="K11" i="1" a="1"/>
  <c r="K11" i="1" s="1"/>
  <c r="K12" i="1" a="1"/>
  <c r="K12" i="1" s="1"/>
  <c r="K13" i="1" a="1"/>
  <c r="K13" i="1" s="1"/>
  <c r="K14" i="1" a="1"/>
  <c r="K14" i="1" s="1"/>
  <c r="K15" i="1" a="1"/>
  <c r="K15" i="1" s="1"/>
  <c r="K16" i="1" a="1"/>
  <c r="K16" i="1" s="1"/>
  <c r="K17" i="1" a="1"/>
  <c r="K17" i="1" s="1"/>
  <c r="K18" i="1" a="1"/>
  <c r="K18" i="1" s="1"/>
  <c r="K19" i="1" a="1"/>
  <c r="K19" i="1" s="1"/>
  <c r="K20" i="1" a="1"/>
  <c r="K20" i="1" s="1"/>
  <c r="K21" i="1" a="1"/>
  <c r="K21" i="1" s="1"/>
  <c r="K22" i="1" a="1"/>
  <c r="K22" i="1" s="1"/>
  <c r="K23" i="1" a="1"/>
  <c r="K23" i="1" s="1"/>
  <c r="K24" i="1" a="1"/>
  <c r="K24" i="1" s="1"/>
  <c r="K25" i="1" a="1"/>
  <c r="K25" i="1" s="1"/>
  <c r="K26" i="1" a="1"/>
  <c r="K26" i="1" s="1"/>
  <c r="K27" i="1" a="1"/>
  <c r="K27" i="1" s="1"/>
  <c r="K28" i="1" a="1"/>
  <c r="K28" i="1" s="1"/>
  <c r="K29" i="1" a="1"/>
  <c r="K29" i="1" s="1"/>
  <c r="K30" i="1" a="1"/>
  <c r="K30" i="1" s="1"/>
  <c r="K31" i="1" a="1"/>
  <c r="K31" i="1" s="1"/>
  <c r="L2" i="1" a="1"/>
  <c r="L2" i="1" s="1"/>
  <c r="L3" i="1" a="1"/>
  <c r="L3" i="1" s="1"/>
  <c r="L4" i="1" a="1"/>
  <c r="L4" i="1" s="1"/>
  <c r="L5" i="1" a="1"/>
  <c r="L5" i="1" s="1"/>
  <c r="L6" i="1" a="1"/>
  <c r="L6" i="1" s="1"/>
  <c r="L7" i="1" a="1"/>
  <c r="L7" i="1" s="1"/>
  <c r="L8" i="1" a="1"/>
  <c r="L8" i="1" s="1"/>
  <c r="L9" i="1" a="1"/>
  <c r="L9" i="1" s="1"/>
  <c r="L10" i="1" a="1"/>
  <c r="L10" i="1" s="1"/>
  <c r="L11" i="1" a="1"/>
  <c r="L11" i="1" s="1"/>
  <c r="L12" i="1" a="1"/>
  <c r="L12" i="1" s="1"/>
  <c r="L13" i="1" a="1"/>
  <c r="L13" i="1" s="1"/>
  <c r="L14" i="1" a="1"/>
  <c r="L14" i="1" s="1"/>
  <c r="L15" i="1" a="1"/>
  <c r="L15" i="1" s="1"/>
  <c r="L16" i="1" a="1"/>
  <c r="L16" i="1" s="1"/>
  <c r="L17" i="1" a="1"/>
  <c r="L17" i="1" s="1"/>
  <c r="L18" i="1" a="1"/>
  <c r="L18" i="1" s="1"/>
  <c r="L19" i="1" a="1"/>
  <c r="L19" i="1" s="1"/>
  <c r="L20" i="1" a="1"/>
  <c r="L20" i="1" s="1"/>
  <c r="L21" i="1" a="1"/>
  <c r="L21" i="1" s="1"/>
  <c r="L22" i="1" a="1"/>
  <c r="L22" i="1" s="1"/>
  <c r="L23" i="1" a="1"/>
  <c r="L23" i="1" s="1"/>
  <c r="L24" i="1" a="1"/>
  <c r="L24" i="1" s="1"/>
  <c r="L25" i="1" a="1"/>
  <c r="L25" i="1" s="1"/>
  <c r="L26" i="1" a="1"/>
  <c r="L26" i="1" s="1"/>
  <c r="L27" i="1" a="1"/>
  <c r="L27" i="1" s="1"/>
  <c r="L28" i="1" a="1"/>
  <c r="L28" i="1" s="1"/>
  <c r="L29" i="1" a="1"/>
  <c r="L29" i="1" s="1"/>
  <c r="L30" i="1" a="1"/>
  <c r="L30" i="1" s="1"/>
  <c r="L31" i="1" a="1"/>
  <c r="L31" i="1" s="1"/>
  <c r="J2" i="1" a="1"/>
  <c r="J2" i="1" s="1"/>
  <c r="J3" i="1" a="1"/>
  <c r="J3" i="1" s="1"/>
  <c r="J4" i="1" a="1"/>
  <c r="J4" i="1" s="1"/>
  <c r="J5" i="1" a="1"/>
  <c r="J5" i="1" s="1"/>
  <c r="J6" i="1" a="1"/>
  <c r="J6" i="1" s="1"/>
  <c r="J7" i="1" a="1"/>
  <c r="J7" i="1" s="1"/>
  <c r="J8" i="1" a="1"/>
  <c r="J8" i="1" s="1"/>
  <c r="J9" i="1" a="1"/>
  <c r="J9" i="1" s="1"/>
  <c r="J10" i="1" a="1"/>
  <c r="J10" i="1" s="1"/>
  <c r="J11" i="1" a="1"/>
  <c r="J11" i="1" s="1"/>
  <c r="J12" i="1" a="1"/>
  <c r="J12" i="1" s="1"/>
  <c r="J13" i="1" a="1"/>
  <c r="J13" i="1" s="1"/>
  <c r="J14" i="1" a="1"/>
  <c r="J14" i="1" s="1"/>
  <c r="J15" i="1" a="1"/>
  <c r="J15" i="1" s="1"/>
  <c r="J16" i="1" a="1"/>
  <c r="J16" i="1" s="1"/>
  <c r="J17" i="1" a="1"/>
  <c r="J17" i="1" s="1"/>
  <c r="J18" i="1" a="1"/>
  <c r="J18" i="1" s="1"/>
  <c r="J19" i="1" a="1"/>
  <c r="J19" i="1" s="1"/>
  <c r="J20" i="1" a="1"/>
  <c r="J20" i="1" s="1"/>
  <c r="J21" i="1" a="1"/>
  <c r="J21" i="1" s="1"/>
  <c r="J22" i="1" a="1"/>
  <c r="J22" i="1" s="1"/>
  <c r="J23" i="1" a="1"/>
  <c r="J23" i="1" s="1"/>
  <c r="J24" i="1" a="1"/>
  <c r="J24" i="1" s="1"/>
  <c r="J25" i="1" a="1"/>
  <c r="J25" i="1" s="1"/>
  <c r="J26" i="1" a="1"/>
  <c r="J26" i="1" s="1"/>
  <c r="J27" i="1" a="1"/>
  <c r="J27" i="1" s="1"/>
  <c r="J28" i="1" a="1"/>
  <c r="J28" i="1" s="1"/>
  <c r="J29" i="1" a="1"/>
  <c r="J29" i="1" s="1"/>
  <c r="J30" i="1" a="1"/>
  <c r="J30" i="1" s="1"/>
  <c r="J31" i="1" a="1"/>
  <c r="J31" i="1" s="1"/>
  <c r="I2" i="1" a="1"/>
  <c r="I2" i="1" s="1"/>
  <c r="I3" i="1" a="1"/>
  <c r="I3" i="1" s="1"/>
  <c r="I4" i="1" a="1"/>
  <c r="I4" i="1" s="1"/>
  <c r="I5" i="1" a="1"/>
  <c r="I5" i="1" s="1"/>
  <c r="I6" i="1" a="1"/>
  <c r="I6" i="1" s="1"/>
  <c r="I7" i="1" a="1"/>
  <c r="I7" i="1" s="1"/>
  <c r="I8" i="1" a="1"/>
  <c r="I8" i="1" s="1"/>
  <c r="I9" i="1" a="1"/>
  <c r="I9" i="1" s="1"/>
  <c r="I10" i="1" a="1"/>
  <c r="I10" i="1" s="1"/>
  <c r="I11" i="1" a="1"/>
  <c r="I11" i="1" s="1"/>
  <c r="I12" i="1" a="1"/>
  <c r="I12" i="1" s="1"/>
  <c r="I13" i="1" a="1"/>
  <c r="I13" i="1" s="1"/>
  <c r="I14" i="1" a="1"/>
  <c r="I14" i="1" s="1"/>
  <c r="I15" i="1" a="1"/>
  <c r="I15" i="1" s="1"/>
  <c r="I16" i="1" a="1"/>
  <c r="I16" i="1" s="1"/>
  <c r="I17" i="1" a="1"/>
  <c r="I17" i="1" s="1"/>
  <c r="I18" i="1" a="1"/>
  <c r="I18" i="1" s="1"/>
  <c r="I19" i="1" a="1"/>
  <c r="I19" i="1" s="1"/>
  <c r="I20" i="1" a="1"/>
  <c r="I20" i="1" s="1"/>
  <c r="I21" i="1" a="1"/>
  <c r="I21" i="1" s="1"/>
  <c r="I22" i="1" a="1"/>
  <c r="I22" i="1" s="1"/>
  <c r="I23" i="1" a="1"/>
  <c r="I23" i="1" s="1"/>
  <c r="I24" i="1" a="1"/>
  <c r="I24" i="1" s="1"/>
  <c r="I25" i="1" a="1"/>
  <c r="I25" i="1" s="1"/>
  <c r="I26" i="1" a="1"/>
  <c r="I26" i="1" s="1"/>
  <c r="I27" i="1" a="1"/>
  <c r="I27" i="1" s="1"/>
  <c r="I28" i="1" a="1"/>
  <c r="I28" i="1" s="1"/>
  <c r="I29" i="1" a="1"/>
  <c r="I29" i="1" s="1"/>
  <c r="I30" i="1" a="1"/>
  <c r="I30" i="1" s="1"/>
  <c r="I31" i="1" a="1"/>
  <c r="I31" i="1" s="1"/>
  <c r="H2" i="1" a="1"/>
  <c r="H2" i="1" s="1"/>
  <c r="H3" i="1" a="1"/>
  <c r="H3" i="1" s="1"/>
  <c r="H4" i="1" a="1"/>
  <c r="H4" i="1" s="1"/>
  <c r="H5" i="1" a="1"/>
  <c r="H5" i="1" s="1"/>
  <c r="H6" i="1" a="1"/>
  <c r="H6" i="1" s="1"/>
  <c r="H7" i="1" a="1"/>
  <c r="H7" i="1" s="1"/>
  <c r="H8" i="1" a="1"/>
  <c r="H8" i="1" s="1"/>
  <c r="H9" i="1" a="1"/>
  <c r="H9" i="1" s="1"/>
  <c r="H10" i="1" a="1"/>
  <c r="H10" i="1" s="1"/>
  <c r="H11" i="1" a="1"/>
  <c r="H11" i="1" s="1"/>
  <c r="H12" i="1" a="1"/>
  <c r="H12" i="1" s="1"/>
  <c r="H13" i="1" a="1"/>
  <c r="H13" i="1" s="1"/>
  <c r="H14" i="1" a="1"/>
  <c r="H14" i="1" s="1"/>
  <c r="H15" i="1" a="1"/>
  <c r="H15" i="1" s="1"/>
  <c r="H16" i="1" a="1"/>
  <c r="H16" i="1" s="1"/>
  <c r="H17" i="1" a="1"/>
  <c r="H17" i="1" s="1"/>
  <c r="H18" i="1" a="1"/>
  <c r="H18" i="1" s="1"/>
  <c r="H19" i="1" a="1"/>
  <c r="H19" i="1" s="1"/>
  <c r="H20" i="1" a="1"/>
  <c r="H20" i="1" s="1"/>
  <c r="H21" i="1" a="1"/>
  <c r="H21" i="1" s="1"/>
  <c r="H22" i="1" a="1"/>
  <c r="H22" i="1" s="1"/>
  <c r="H23" i="1" a="1"/>
  <c r="H23" i="1" s="1"/>
  <c r="H24" i="1" a="1"/>
  <c r="H24" i="1" s="1"/>
  <c r="H25" i="1" a="1"/>
  <c r="H25" i="1" s="1"/>
  <c r="H26" i="1" a="1"/>
  <c r="H26" i="1" s="1"/>
  <c r="H27" i="1" a="1"/>
  <c r="H27" i="1" s="1"/>
  <c r="H28" i="1" a="1"/>
  <c r="H28" i="1" s="1"/>
  <c r="H29" i="1" a="1"/>
  <c r="H29" i="1" s="1"/>
  <c r="H30" i="1" a="1"/>
  <c r="H30" i="1" s="1"/>
  <c r="H31" i="1" a="1"/>
  <c r="H31" i="1" s="1"/>
  <c r="G2" i="1" a="1"/>
  <c r="G2" i="1" s="1"/>
  <c r="G3" i="1" a="1"/>
  <c r="G3" i="1" s="1"/>
  <c r="G4" i="1" a="1"/>
  <c r="G4" i="1" s="1"/>
  <c r="G5" i="1" a="1"/>
  <c r="G5" i="1" s="1"/>
  <c r="G6" i="1" a="1"/>
  <c r="G6" i="1" s="1"/>
  <c r="G7" i="1" a="1"/>
  <c r="G7" i="1" s="1"/>
  <c r="G8" i="1" a="1"/>
  <c r="G8" i="1" s="1"/>
  <c r="G9" i="1" a="1"/>
  <c r="G9" i="1" s="1"/>
  <c r="G10" i="1" a="1"/>
  <c r="G10" i="1" s="1"/>
  <c r="G11" i="1" a="1"/>
  <c r="G11" i="1" s="1"/>
  <c r="G12" i="1" a="1"/>
  <c r="G12" i="1" s="1"/>
  <c r="G13" i="1" a="1"/>
  <c r="G13" i="1" s="1"/>
  <c r="G14" i="1" a="1"/>
  <c r="G14" i="1" s="1"/>
  <c r="G15" i="1" a="1"/>
  <c r="G15" i="1" s="1"/>
  <c r="G16" i="1" a="1"/>
  <c r="G16" i="1" s="1"/>
  <c r="G17" i="1" a="1"/>
  <c r="G17" i="1" s="1"/>
  <c r="G18" i="1" a="1"/>
  <c r="G18" i="1" s="1"/>
  <c r="G19" i="1" a="1"/>
  <c r="G19" i="1" s="1"/>
  <c r="G20" i="1" a="1"/>
  <c r="G20" i="1" s="1"/>
  <c r="G21" i="1" a="1"/>
  <c r="G21" i="1" s="1"/>
  <c r="G22" i="1" a="1"/>
  <c r="G22" i="1" s="1"/>
  <c r="G23" i="1" a="1"/>
  <c r="G23" i="1" s="1"/>
  <c r="G24" i="1" a="1"/>
  <c r="G24" i="1" s="1"/>
  <c r="G25" i="1" a="1"/>
  <c r="G25" i="1" s="1"/>
  <c r="G26" i="1" a="1"/>
  <c r="G26" i="1" s="1"/>
  <c r="G27" i="1" a="1"/>
  <c r="G27" i="1" s="1"/>
  <c r="G28" i="1" a="1"/>
  <c r="G28" i="1" s="1"/>
  <c r="G29" i="1" a="1"/>
  <c r="G29" i="1" s="1"/>
  <c r="G30" i="1" a="1"/>
  <c r="G30" i="1" s="1"/>
  <c r="G31" i="1" a="1"/>
  <c r="G31" i="1" s="1"/>
  <c r="F2" i="1" a="1"/>
  <c r="F2" i="1" s="1"/>
  <c r="F3" i="1" a="1"/>
  <c r="F3" i="1" s="1"/>
  <c r="F4" i="1" a="1"/>
  <c r="F4" i="1" s="1"/>
  <c r="F5" i="1" a="1"/>
  <c r="F5" i="1" s="1"/>
  <c r="F6" i="1" a="1"/>
  <c r="F6" i="1" s="1"/>
  <c r="F7" i="1" a="1"/>
  <c r="F7" i="1" s="1"/>
  <c r="F8" i="1" a="1"/>
  <c r="F8" i="1" s="1"/>
  <c r="F9" i="1" a="1"/>
  <c r="F9" i="1" s="1"/>
  <c r="F10" i="1" a="1"/>
  <c r="F10" i="1" s="1"/>
  <c r="F11" i="1" a="1"/>
  <c r="F11" i="1" s="1"/>
  <c r="F12" i="1" a="1"/>
  <c r="F12" i="1" s="1"/>
  <c r="F13" i="1" a="1"/>
  <c r="F13" i="1" s="1"/>
  <c r="F14" i="1" a="1"/>
  <c r="F14" i="1" s="1"/>
  <c r="F15" i="1" a="1"/>
  <c r="F15" i="1" s="1"/>
  <c r="F16" i="1" a="1"/>
  <c r="F16" i="1" s="1"/>
  <c r="F17" i="1" a="1"/>
  <c r="F17" i="1" s="1"/>
  <c r="F18" i="1" a="1"/>
  <c r="F18" i="1" s="1"/>
  <c r="F19" i="1" a="1"/>
  <c r="F19" i="1" s="1"/>
  <c r="F20" i="1" a="1"/>
  <c r="F20" i="1" s="1"/>
  <c r="F21" i="1" a="1"/>
  <c r="F21" i="1" s="1"/>
  <c r="F22" i="1" a="1"/>
  <c r="F22" i="1" s="1"/>
  <c r="F23" i="1" a="1"/>
  <c r="F23" i="1" s="1"/>
  <c r="F24" i="1" a="1"/>
  <c r="F24" i="1" s="1"/>
  <c r="F25" i="1" a="1"/>
  <c r="F25" i="1" s="1"/>
  <c r="F26" i="1" a="1"/>
  <c r="F26" i="1" s="1"/>
  <c r="F27" i="1" a="1"/>
  <c r="F27" i="1" s="1"/>
  <c r="F28" i="1" a="1"/>
  <c r="F28" i="1" s="1"/>
  <c r="F29" i="1" a="1"/>
  <c r="F29" i="1" s="1"/>
  <c r="F30" i="1" a="1"/>
  <c r="F30" i="1" s="1"/>
  <c r="F31" i="1" a="1"/>
  <c r="F31" i="1" s="1"/>
  <c r="E2" i="1" a="1"/>
  <c r="E2" i="1" s="1"/>
  <c r="E3" i="1" a="1"/>
  <c r="E3" i="1" s="1"/>
  <c r="E4" i="1" a="1"/>
  <c r="E4" i="1" s="1"/>
  <c r="E5" i="1" a="1"/>
  <c r="E5" i="1" s="1"/>
  <c r="E6" i="1" a="1"/>
  <c r="E6" i="1" s="1"/>
  <c r="E7" i="1" a="1"/>
  <c r="E7" i="1" s="1"/>
  <c r="E8" i="1" a="1"/>
  <c r="E8" i="1" s="1"/>
  <c r="E9" i="1" a="1"/>
  <c r="E9" i="1" s="1"/>
  <c r="E10" i="1" a="1"/>
  <c r="E10" i="1" s="1"/>
  <c r="E11" i="1" a="1"/>
  <c r="E11" i="1" s="1"/>
  <c r="E12" i="1" a="1"/>
  <c r="E12" i="1" s="1"/>
  <c r="E13" i="1" a="1"/>
  <c r="E13" i="1" s="1"/>
  <c r="E14" i="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28" i="1" a="1"/>
  <c r="E28" i="1" s="1"/>
  <c r="E29" i="1" a="1"/>
  <c r="E29" i="1" s="1"/>
  <c r="E30" i="1" a="1"/>
  <c r="E30" i="1" s="1"/>
  <c r="E31" i="1" a="1"/>
  <c r="E31" i="1" s="1"/>
  <c r="D2" i="1" a="1"/>
  <c r="D2" i="1" s="1"/>
  <c r="D3" i="1" a="1"/>
  <c r="D3" i="1" s="1"/>
  <c r="D4" i="1" a="1"/>
  <c r="D4" i="1" s="1"/>
  <c r="D5" i="1" a="1"/>
  <c r="D5" i="1" s="1"/>
  <c r="D6" i="1" a="1"/>
  <c r="D6" i="1" s="1"/>
  <c r="D7" i="1" a="1"/>
  <c r="D7" i="1" s="1"/>
  <c r="D8" i="1" a="1"/>
  <c r="D8" i="1" s="1"/>
  <c r="D9" i="1" a="1"/>
  <c r="D9" i="1" s="1"/>
  <c r="D10" i="1" a="1"/>
  <c r="D10" i="1" s="1"/>
  <c r="D11" i="1" a="1"/>
  <c r="D11" i="1" s="1"/>
  <c r="D12" i="1" a="1"/>
  <c r="D12" i="1" s="1"/>
  <c r="D13" i="1" a="1"/>
  <c r="D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28" i="1" a="1"/>
  <c r="D28" i="1" s="1"/>
  <c r="D29" i="1" a="1"/>
  <c r="D29" i="1" s="1"/>
  <c r="D30" i="1" a="1"/>
  <c r="D30" i="1" s="1"/>
  <c r="D31" i="1" a="1"/>
  <c r="D31" i="1" s="1"/>
  <c r="B31" i="1" a="1"/>
  <c r="B31" i="1" s="1"/>
  <c r="C31" i="1" a="1"/>
  <c r="C31" i="1" s="1"/>
  <c r="B30" i="1" a="1"/>
  <c r="B30" i="1" s="1"/>
  <c r="C30" i="1" a="1"/>
  <c r="C30" i="1" s="1"/>
  <c r="B29" i="1" a="1"/>
  <c r="B29" i="1" s="1"/>
  <c r="C29" i="1" a="1"/>
  <c r="C29" i="1" s="1"/>
  <c r="B28" i="1" a="1"/>
  <c r="B28" i="1" s="1"/>
  <c r="C28" i="1" a="1"/>
  <c r="C28" i="1" s="1"/>
  <c r="B27" i="1" a="1"/>
  <c r="B27" i="1" s="1"/>
  <c r="C27" i="1" a="1"/>
  <c r="C27" i="1" s="1"/>
  <c r="B26" i="1" a="1"/>
  <c r="B26" i="1" s="1"/>
  <c r="C26" i="1" a="1"/>
  <c r="C26" i="1" s="1"/>
  <c r="B25" i="1" a="1"/>
  <c r="B25" i="1" s="1"/>
  <c r="C25" i="1" a="1"/>
  <c r="C25" i="1" s="1"/>
  <c r="B24" i="1" a="1"/>
  <c r="B24" i="1" s="1"/>
  <c r="C24" i="1" a="1"/>
  <c r="C24" i="1" s="1"/>
  <c r="B23" i="1" a="1"/>
  <c r="B23" i="1" s="1"/>
  <c r="C23" i="1" a="1"/>
  <c r="C23" i="1" s="1"/>
  <c r="B22" i="1" a="1"/>
  <c r="B22" i="1" s="1"/>
  <c r="C22" i="1" a="1"/>
  <c r="C22" i="1" s="1"/>
  <c r="B21" i="1" a="1"/>
  <c r="B21" i="1" s="1"/>
  <c r="C21" i="1" a="1"/>
  <c r="C21" i="1" s="1"/>
  <c r="B20" i="1" a="1"/>
  <c r="B20" i="1" s="1"/>
  <c r="C20" i="1" a="1"/>
  <c r="C20" i="1" s="1"/>
  <c r="B19" i="1" a="1"/>
  <c r="B19" i="1" s="1"/>
  <c r="C19" i="1" a="1"/>
  <c r="C19" i="1" s="1"/>
  <c r="B18" i="1" a="1"/>
  <c r="B18" i="1" s="1"/>
  <c r="C18" i="1" a="1"/>
  <c r="C18" i="1" s="1"/>
  <c r="B17" i="1" a="1"/>
  <c r="B17" i="1" s="1"/>
  <c r="C17" i="1" a="1"/>
  <c r="C17" i="1" s="1"/>
  <c r="B16" i="1" a="1"/>
  <c r="B16" i="1" s="1"/>
  <c r="C16" i="1" a="1"/>
  <c r="C16" i="1" s="1"/>
  <c r="B15" i="1" a="1"/>
  <c r="B15" i="1" s="1"/>
  <c r="C15" i="1" a="1"/>
  <c r="C15" i="1" s="1"/>
  <c r="B14" i="1" a="1"/>
  <c r="B14" i="1" s="1"/>
  <c r="C14" i="1" a="1"/>
  <c r="C14" i="1" s="1"/>
  <c r="B13" i="1" a="1"/>
  <c r="B13" i="1" s="1"/>
  <c r="C13" i="1" a="1"/>
  <c r="C13" i="1" s="1"/>
  <c r="B12" i="1" a="1"/>
  <c r="B12" i="1" s="1"/>
  <c r="C12" i="1" a="1"/>
  <c r="C12" i="1" s="1"/>
  <c r="B11" i="1" a="1"/>
  <c r="B11" i="1" s="1"/>
  <c r="C11" i="1" a="1"/>
  <c r="C11" i="1" s="1"/>
  <c r="B10" i="1" a="1"/>
  <c r="B10" i="1" s="1"/>
  <c r="C10" i="1" a="1"/>
  <c r="C10" i="1" s="1"/>
  <c r="B9" i="1" a="1"/>
  <c r="B9" i="1" s="1"/>
  <c r="C9" i="1" a="1"/>
  <c r="C9" i="1" s="1"/>
  <c r="B8" i="1" a="1"/>
  <c r="B8" i="1" s="1"/>
  <c r="C8" i="1" a="1"/>
  <c r="C8" i="1" s="1"/>
  <c r="B7" i="1" a="1"/>
  <c r="B7" i="1" s="1"/>
  <c r="C7" i="1" a="1"/>
  <c r="C7" i="1" s="1"/>
  <c r="B6" i="1" a="1"/>
  <c r="B6" i="1" s="1"/>
  <c r="C6" i="1" a="1"/>
  <c r="C6" i="1" s="1"/>
  <c r="B5" i="1" a="1"/>
  <c r="B5" i="1" s="1"/>
  <c r="C5" i="1" a="1"/>
  <c r="C5" i="1" s="1"/>
  <c r="C2" i="1" a="1"/>
  <c r="C2" i="1" s="1"/>
  <c r="C3" i="1" a="1"/>
  <c r="C3" i="1" s="1"/>
  <c r="C4" i="1" a="1"/>
  <c r="C4" i="1" s="1"/>
  <c r="B2" i="1" a="1"/>
  <c r="B2" i="1" s="1"/>
  <c r="B3" i="1" a="1"/>
  <c r="B3" i="1" s="1"/>
  <c r="B4" i="1" a="1"/>
  <c r="B4"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0">
    <bk>
      <extLst>
        <ext uri="{3e2802c4-a4d2-4d8b-9148-e3be6c30e623}">
          <xlrd:rvb i="6"/>
        </ext>
      </extLst>
    </bk>
    <bk>
      <extLst>
        <ext uri="{3e2802c4-a4d2-4d8b-9148-e3be6c30e623}">
          <xlrd:rvb i="12"/>
        </ext>
      </extLst>
    </bk>
    <bk>
      <extLst>
        <ext uri="{3e2802c4-a4d2-4d8b-9148-e3be6c30e623}">
          <xlrd:rvb i="18"/>
        </ext>
      </extLst>
    </bk>
    <bk>
      <extLst>
        <ext uri="{3e2802c4-a4d2-4d8b-9148-e3be6c30e623}">
          <xlrd:rvb i="24"/>
        </ext>
      </extLst>
    </bk>
    <bk>
      <extLst>
        <ext uri="{3e2802c4-a4d2-4d8b-9148-e3be6c30e623}">
          <xlrd:rvb i="30"/>
        </ext>
      </extLst>
    </bk>
    <bk>
      <extLst>
        <ext uri="{3e2802c4-a4d2-4d8b-9148-e3be6c30e623}">
          <xlrd:rvb i="36"/>
        </ext>
      </extLst>
    </bk>
    <bk>
      <extLst>
        <ext uri="{3e2802c4-a4d2-4d8b-9148-e3be6c30e623}">
          <xlrd:rvb i="39"/>
        </ext>
      </extLst>
    </bk>
    <bk>
      <extLst>
        <ext uri="{3e2802c4-a4d2-4d8b-9148-e3be6c30e623}">
          <xlrd:rvb i="45"/>
        </ext>
      </extLst>
    </bk>
    <bk>
      <extLst>
        <ext uri="{3e2802c4-a4d2-4d8b-9148-e3be6c30e623}">
          <xlrd:rvb i="51"/>
        </ext>
      </extLst>
    </bk>
    <bk>
      <extLst>
        <ext uri="{3e2802c4-a4d2-4d8b-9148-e3be6c30e623}">
          <xlrd:rvb i="57"/>
        </ext>
      </extLst>
    </bk>
    <bk>
      <extLst>
        <ext uri="{3e2802c4-a4d2-4d8b-9148-e3be6c30e623}">
          <xlrd:rvb i="63"/>
        </ext>
      </extLst>
    </bk>
    <bk>
      <extLst>
        <ext uri="{3e2802c4-a4d2-4d8b-9148-e3be6c30e623}">
          <xlrd:rvb i="66"/>
        </ext>
      </extLst>
    </bk>
    <bk>
      <extLst>
        <ext uri="{3e2802c4-a4d2-4d8b-9148-e3be6c30e623}">
          <xlrd:rvb i="69"/>
        </ext>
      </extLst>
    </bk>
    <bk>
      <extLst>
        <ext uri="{3e2802c4-a4d2-4d8b-9148-e3be6c30e623}">
          <xlrd:rvb i="75"/>
        </ext>
      </extLst>
    </bk>
    <bk>
      <extLst>
        <ext uri="{3e2802c4-a4d2-4d8b-9148-e3be6c30e623}">
          <xlrd:rvb i="81"/>
        </ext>
      </extLst>
    </bk>
    <bk>
      <extLst>
        <ext uri="{3e2802c4-a4d2-4d8b-9148-e3be6c30e623}">
          <xlrd:rvb i="87"/>
        </ext>
      </extLst>
    </bk>
    <bk>
      <extLst>
        <ext uri="{3e2802c4-a4d2-4d8b-9148-e3be6c30e623}">
          <xlrd:rvb i="93"/>
        </ext>
      </extLst>
    </bk>
    <bk>
      <extLst>
        <ext uri="{3e2802c4-a4d2-4d8b-9148-e3be6c30e623}">
          <xlrd:rvb i="99"/>
        </ext>
      </extLst>
    </bk>
    <bk>
      <extLst>
        <ext uri="{3e2802c4-a4d2-4d8b-9148-e3be6c30e623}">
          <xlrd:rvb i="105"/>
        </ext>
      </extLst>
    </bk>
    <bk>
      <extLst>
        <ext uri="{3e2802c4-a4d2-4d8b-9148-e3be6c30e623}">
          <xlrd:rvb i="111"/>
        </ext>
      </extLst>
    </bk>
    <bk>
      <extLst>
        <ext uri="{3e2802c4-a4d2-4d8b-9148-e3be6c30e623}">
          <xlrd:rvb i="117"/>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6"/>
        </ext>
      </extLst>
    </bk>
    <bk>
      <extLst>
        <ext uri="{3e2802c4-a4d2-4d8b-9148-e3be6c30e623}">
          <xlrd:rvb i="139"/>
        </ext>
      </extLst>
    </bk>
    <bk>
      <extLst>
        <ext uri="{3e2802c4-a4d2-4d8b-9148-e3be6c30e623}">
          <xlrd:rvb i="145"/>
        </ext>
      </extLst>
    </bk>
    <bk>
      <extLst>
        <ext uri="{3e2802c4-a4d2-4d8b-9148-e3be6c30e623}">
          <xlrd:rvb i="151"/>
        </ext>
      </extLst>
    </bk>
    <bk>
      <extLst>
        <ext uri="{3e2802c4-a4d2-4d8b-9148-e3be6c30e623}">
          <xlrd:rvb i="157"/>
        </ext>
      </extLst>
    </bk>
    <bk>
      <extLst>
        <ext uri="{3e2802c4-a4d2-4d8b-9148-e3be6c30e623}">
          <xlrd:rvb i="163"/>
        </ext>
      </extLst>
    </bk>
  </futureMetadata>
  <cellMetadata count="1">
    <bk>
      <rc t="1" v="0"/>
    </bk>
  </cellMetadata>
  <valueMetadata count="30">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valueMetadata>
</metadata>
</file>

<file path=xl/sharedStrings.xml><?xml version="1.0" encoding="utf-8"?>
<sst xmlns="http://schemas.openxmlformats.org/spreadsheetml/2006/main" count="16" uniqueCount="16">
  <si>
    <t>Name</t>
  </si>
  <si>
    <t>Price</t>
  </si>
  <si>
    <t>Stock</t>
  </si>
  <si>
    <t>Change</t>
  </si>
  <si>
    <t>Low</t>
  </si>
  <si>
    <t>Volume</t>
  </si>
  <si>
    <t>PE</t>
  </si>
  <si>
    <t>High</t>
  </si>
  <si>
    <t>Symbol</t>
  </si>
  <si>
    <t>Industry</t>
  </si>
  <si>
    <t>Changep</t>
  </si>
  <si>
    <t>LTT</t>
  </si>
  <si>
    <t>Wlow</t>
  </si>
  <si>
    <t>Whigh</t>
  </si>
  <si>
    <t>Op</t>
  </si>
  <si>
    <t>Cl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</si>
</sst>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5" formatCode="_([$$-409]* #,##0.00_);_([$$-409]* \(#,##0.00\);_([$$-409]* &quot;-&quot;??_);_(@_)"/>
    <numFmt numFmtId="166" formatCode="0.00;[Red]0.00"/>
    <numFmt numFmtId="167" formatCode="[$-409]m/d/yy\ h:mm\ AM/PM;@"/>
  </numFmts>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166" fontId="0" fillId="0" borderId="0" xfId="0" applyNumberFormat="1"/>
    <xf numFmtId="165" fontId="0" fillId="0" borderId="0" xfId="0" applyNumberFormat="1"/>
    <xf numFmtId="10" fontId="0" fillId="0" borderId="0" xfId="0" applyNumberFormat="1"/>
    <xf numFmtId="2" fontId="0" fillId="0" borderId="0" xfId="0" applyNumberFormat="1"/>
    <xf numFmtId="167" fontId="0" fillId="0" borderId="0" xfId="0" applyNumberFormat="1"/>
  </cellXfs>
  <cellStyles count="1">
    <cellStyle name="Normal" xfId="0" builtinId="0"/>
  </cellStyles>
  <dxfs count="13">
    <dxf>
      <numFmt numFmtId="2" formatCode="0.00"/>
    </dxf>
    <dxf>
      <numFmt numFmtId="2" formatCode="0.00"/>
    </dxf>
    <dxf>
      <numFmt numFmtId="2" formatCode="0.00"/>
    </dxf>
    <dxf>
      <numFmt numFmtId="2" formatCode="0.00"/>
    </dxf>
    <dxf>
      <numFmt numFmtId="167" formatCode="[$-409]m/d/yy\ h:mm\ AM/PM;@"/>
    </dxf>
    <dxf>
      <numFmt numFmtId="2" formatCode="0.00"/>
    </dxf>
    <dxf>
      <numFmt numFmtId="166" formatCode="0.00;[Red]0.00"/>
    </dxf>
    <dxf>
      <numFmt numFmtId="165" formatCode="_([$$-409]* #,##0.00_);_([$$-409]* \(#,##0.00\);_([$$-409]* &quot;-&quot;??_);_(@_)"/>
    </dxf>
    <dxf>
      <numFmt numFmtId="2" formatCode="0.00"/>
    </dxf>
    <dxf>
      <numFmt numFmtId="2" formatCode="0.00"/>
    </dxf>
    <dxf>
      <numFmt numFmtId="14" formatCode="0.00%"/>
    </dxf>
    <dxf>
      <numFmt numFmtId="2" formatCode="0.00"/>
    </dxf>
    <dxf>
      <numFmt numFmtId="166" formatCode="0.00;[Red]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ichStyles" Target="richData/richStyles.xml"/><Relationship Id="rId13" Type="http://schemas.microsoft.com/office/2006/relationships/vbaProject" Target="vbaProject.bin"/><Relationship Id="rId3" Type="http://schemas.openxmlformats.org/officeDocument/2006/relationships/styles" Target="styles.xml"/><Relationship Id="rId7" Type="http://schemas.microsoft.com/office/2017/06/relationships/rdRichValueStructure" Target="richData/rdrichvaluestructure.xml"/><Relationship Id="rId12" Type="http://schemas.openxmlformats.org/officeDocument/2006/relationships/calcChain" Target="calcChain.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17/06/relationships/rdRichValue" Target="richData/rdrichvalue.xml"/><Relationship Id="rId11" Type="http://schemas.microsoft.com/office/2017/06/relationships/rdRichValueTypes" Target="richData/rdRichValueTypes.xml"/><Relationship Id="rId5" Type="http://schemas.openxmlformats.org/officeDocument/2006/relationships/sheetMetadata" Target="metadata.xml"/><Relationship Id="rId10" Type="http://schemas.microsoft.com/office/2017/06/relationships/rdSupportingPropertyBag" Target="richData/rdsupportingpropertybag.xml"/><Relationship Id="rId4" Type="http://schemas.openxmlformats.org/officeDocument/2006/relationships/sharedStrings" Target="sharedStrings.xml"/><Relationship Id="rId9" Type="http://schemas.microsoft.com/office/2017/06/relationships/rdSupportingPropertyBagStructure" Target="richData/rdsupportingpropertybagstructure.xml"/></Relationships>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164">
  <rv s="0">
    <v>http://en.wikipedia.org/wiki/Public_domain</v>
    <v>Public domain</v>
  </rv>
  <rv s="0">
    <v>http://en.wikipedia.org/wiki/American_Express</v>
    <v>Wikipedia</v>
  </rv>
  <rv s="1">
    <v>0</v>
    <v>1</v>
  </rv>
  <rv s="2">
    <v>6</v>
    <v>https://www.bing.com/th?id=AMMS_4b0bb9ecc06de08643063b8d43f8b996&amp;qlt=95</v>
    <v>2</v>
    <v>0</v>
    <v>https://www.bing.com/images/search?form=xlimg&amp;q=american+express</v>
    <v>Image of AMERICAN EXPRESS COMPANY</v>
  </rv>
  <rv s="0">
    <v>https://www.bing.com/financeapi/forcetrigger?t=a1o2lh&amp;q=XNYS%3aAXP&amp;form=skydnc</v>
    <v>Learn more on Bing</v>
  </rv>
  <rv s="3">
    <v>en-US</v>
    <v>a1o2lh</v>
    <v>268435456</v>
    <v>1</v>
    <v>Powered by Refinitiv</v>
    <v>0</v>
    <v>AMERICAN EXPRESS COMPANY (XNYS:AXP)</v>
    <v>3</v>
    <v>4</v>
    <v>Finance</v>
    <v>5</v>
    <v>179.67</v>
    <v>89.11</v>
    <v>1.2718</v>
    <v>1.44</v>
    <v>8.9249999999999989E-3</v>
    <v>USD</v>
    <v>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v>
    <v>63700</v>
    <v>New York Stock Exchange</v>
    <v>XNYS</v>
    <v>XNYS</v>
    <v>200 Vesey St Fl 50, NEW YORK, NY, 10285-1000 US</v>
    <v>164.43</v>
    <v>3</v>
    <v>Banking Services</v>
    <v>Stock</v>
    <v>44455.746335138283</v>
    <v>4</v>
    <v>162.19999999999999</v>
    <v>129317820018</v>
    <v>AMERICAN EXPRESS COMPANY</v>
    <v>AMERICAN EXPRESS COMPANY</v>
    <v>163.33000000000001</v>
    <v>18.754100000000001</v>
    <v>161.34</v>
    <v>162.78</v>
    <v>794433100</v>
    <v>AXP</v>
    <v>AMERICAN EXPRESS COMPANY (XNYS:AXP)</v>
    <v>1452562</v>
    <v>3544379</v>
    <v>1965</v>
  </rv>
  <rv s="4">
    <v>5</v>
  </rv>
  <rv s="0">
    <v>http://en.wikipedia.org/wiki/Amgen</v>
    <v>Wikipedia</v>
  </rv>
  <rv s="1">
    <v>0</v>
    <v>7</v>
  </rv>
  <rv s="2">
    <v>6</v>
    <v>https://www.bing.com/th?id=AMMS_7651d2e878d4df4bb82a200be2db03e3&amp;qlt=95</v>
    <v>8</v>
    <v>0</v>
    <v>https://www.bing.com/images/search?form=xlimg&amp;q=amgen</v>
    <v>Image of AMGEN INC.</v>
  </rv>
  <rv s="0">
    <v>https://www.bing.com/financeapi/forcetrigger?t=a1nec7&amp;q=XNAS%3aAMGN&amp;form=skydnc</v>
    <v>Learn more on Bing</v>
  </rv>
  <rv s="3">
    <v>en-US</v>
    <v>a1nec7</v>
    <v>268435456</v>
    <v>1</v>
    <v>Powered by Refinitiv</v>
    <v>0</v>
    <v>AMGEN INC. (XNAS:AMGN)</v>
    <v>3</v>
    <v>4</v>
    <v>Finance</v>
    <v>5</v>
    <v>276.69</v>
    <v>210.28</v>
    <v>0.67530000000000001</v>
    <v>-1.375</v>
    <v>-6.3039999999999997E-3</v>
    <v>USD</v>
    <v>Amgen Inc. is a biotechnology company. The Company discovers, develops, manufactures and delivers various human therapeutics. It operates in human therapeutics segment. Its marketed products portfolio includes Neulasta (pegfilgrastim); erythropoiesis-stimulating agents (ESAs), such as Aranesp (darbepoetin alfa) and EPOGEN (epoetin alfa); Sensipar/Mimpara (cinacalcet); XGEVA (denosumab); Prolia (denosumab); NEUPOGEN (filgrastim), and other marketed products, such as KYPROLIS (carfilzomib), Vectibix (panitumumab), Nplate (romiplostim), Repatha (evolocumab), BLINCYTO (blinatumomab), IMLYGIC (talimogene laherparepvec) and Corlanor (ivabradine). It focuses on human therapeutics for the treatment of serious illness in the areas of oncology/hematology, cardiovascular disease and neuroscience. Its product candidates in Phase III include Erenumab for episodic migraine, Aranesp for myelodysplastic syndromes, BLINCYTO for acute lymphoblastic leukemia and IMLYGIC for metastatic melanoma.</v>
    <v>24300</v>
    <v>Nasdaq Stock Market</v>
    <v>XNAS</v>
    <v>XNAS</v>
    <v>1 Amgen Center Dr, THOUSAND OAKS, CA, 91320-1799 US</v>
    <v>218.6</v>
    <v>9</v>
    <v>Pharmaceuticals</v>
    <v>Stock</v>
    <v>44455.746330543749</v>
    <v>10</v>
    <v>214</v>
    <v>123865600000</v>
    <v>AMGEN INC.</v>
    <v>AMGEN INC.</v>
    <v>218.02</v>
    <v>22.1784</v>
    <v>218.13</v>
    <v>216.755</v>
    <v>567852400</v>
    <v>AMGN</v>
    <v>AMGEN INC. (XNAS:AMGN)</v>
    <v>1154495</v>
    <v>2386590</v>
    <v>1986</v>
  </rv>
  <rv s="4">
    <v>11</v>
  </rv>
  <rv s="0">
    <v>http://nl.wikipedia.org/wiki/Apple_Inc.</v>
    <v>Wikipedia</v>
  </rv>
  <rv s="1">
    <v>0</v>
    <v>13</v>
  </rv>
  <rv s="2">
    <v>6</v>
    <v>https://www.bing.com/th?id=AMMS_5bc8393c85a56e6bb6524ea7b3970bad&amp;qlt=95</v>
    <v>14</v>
    <v>0</v>
    <v>https://www.bing.com/images/search?form=xlimg&amp;q=apple+inc</v>
    <v>Image of APPLE INC.</v>
  </rv>
  <rv s="0">
    <v>https://www.bing.com/financeapi/forcetrigger?t=a1mou2&amp;q=XNAS%3aAAPL&amp;form=skydnc</v>
    <v>Learn more on Bing</v>
  </rv>
  <rv s="3">
    <v>en-US</v>
    <v>a1mou2</v>
    <v>268435456</v>
    <v>1</v>
    <v>Powered by Refinitiv</v>
    <v>0</v>
    <v>APPLE INC. (XNAS:AAPL)</v>
    <v>3</v>
    <v>4</v>
    <v>Finance</v>
    <v>5</v>
    <v>157.26</v>
    <v>103.1</v>
    <v>1.2125999999999999</v>
    <v>-0.86570000000000003</v>
    <v>-5.8089999999999999E-3</v>
    <v>USD</v>
    <v>Apple Inc. designs, manufactures and markets smartphones, personal computers, tablets, wearables and accessories, and sells a variety of related services. The Company’s products include iPhone, Mac, iPad, and Wearables, Home and Accessories. iPhone is the Company’s line of smartphones based on its iOS operating system. Mac is the Company’s line of personal computers based on its macOS operating system. iPad is the Company’s line of multi-purpose tablets based on its iPadOS operating system. Wearables, Home and Accessories includes AirPods, Apple TV, Apple Watch, Beats products, HomePod, iPod touch and other Apple-branded and third-party accessories. AirPods are the Company’s wireless headphones that interact with Siri. Apple Watch is the Company’s line of smart watches. Its services include Advertising, AppleCare, Cloud Services, Digital Content and Payment Services. Its customers are primarily in the consumer, small and mid-sized business, education, enterprise and government markets.</v>
    <v>147000</v>
    <v>Nasdaq Stock Market</v>
    <v>XNAS</v>
    <v>XNAS</v>
    <v>1 Apple Park Way, CUPERTINO, CA, 95014-0642 US</v>
    <v>148.9684</v>
    <v>15</v>
    <v>Computers, Phones &amp; Household Electronics</v>
    <v>Stock</v>
    <v>44455.746323332809</v>
    <v>16</v>
    <v>147.221</v>
    <v>2449181066931</v>
    <v>APPLE INC.</v>
    <v>APPLE INC.</v>
    <v>148.41999999999999</v>
    <v>29.186499999999999</v>
    <v>149.03</v>
    <v>148.1643</v>
    <v>16530170000</v>
    <v>AAPL</v>
    <v>APPLE INC. (XNAS:AAPL)</v>
    <v>41634363</v>
    <v>76801658</v>
    <v>1977</v>
  </rv>
  <rv s="4">
    <v>17</v>
  </rv>
  <rv s="0">
    <v>http://en.wikipedia.org/wiki/Boeing</v>
    <v>Wikipedia</v>
  </rv>
  <rv s="1">
    <v>0</v>
    <v>19</v>
  </rv>
  <rv s="2">
    <v>6</v>
    <v>https://www.bing.com/th?id=AMMS_8bd15fa626b3afb85c59bf7000422779&amp;qlt=95</v>
    <v>20</v>
    <v>0</v>
    <v>https://www.bing.com/images/search?form=xlimg&amp;q=boeing</v>
    <v>Image of THE BOEING COMPANY</v>
  </rv>
  <rv s="0">
    <v>https://www.bing.com/financeapi/forcetrigger?t=a1o4ec&amp;q=XNYS%3aBA&amp;form=skydnc</v>
    <v>Learn more on Bing</v>
  </rv>
  <rv s="3">
    <v>en-US</v>
    <v>a1o4ec</v>
    <v>268435456</v>
    <v>1</v>
    <v>Powered by Refinitiv</v>
    <v>0</v>
    <v>THE BOEING COMPANY (XNYS:BA)</v>
    <v>3</v>
    <v>4</v>
    <v>Finance</v>
    <v>5</v>
    <v>278.56709999999998</v>
    <v>141.58000000000001</v>
    <v>1.6136999999999999</v>
    <v>-0.13</v>
    <v>-6.0690000000000006E-4</v>
    <v>USD</v>
    <v>The Boeing Company is an aerospace firm. The Company operates in four segments: Commercial Airplanes (BCA); Defense, Space &amp; Security (BDS); Global Services (BGS), and Boeing Capital (BCC). BCA segment develops, produces and markets commercial jet aircraft and provides fleet support services, principally to the commercial airline industry. BDS segment is engaged in the research, development, production and modification of manned and unmanned military aircraft and weapons systems for strike, surveillance and mobility. BGS segment provides services to commercial and defense customers. BCC's segment portfolio consists of equipment under operating leases, finance leases, notes and other receivables and assets held for sale.</v>
    <v>141000</v>
    <v>New York Stock Exchange</v>
    <v>XNYS</v>
    <v>XNYS</v>
    <v>100 N Riverside Plz, CHICAGO, IL, 60606-1596 US</v>
    <v>216.3</v>
    <v>21</v>
    <v>Aerospace &amp; Defense</v>
    <v>Stock</v>
    <v>44455.746377950782</v>
    <v>22</v>
    <v>213.37739999999999</v>
    <v>125489260271</v>
    <v>THE BOEING COMPANY</v>
    <v>THE BOEING COMPANY</v>
    <v>214.39</v>
    <v>0</v>
    <v>214.22</v>
    <v>214.09</v>
    <v>586151900</v>
    <v>BA</v>
    <v>THE BOEING COMPANY (XNYS:BA)</v>
    <v>3971698</v>
    <v>8735317</v>
    <v>1934</v>
  </rv>
  <rv s="4">
    <v>23</v>
  </rv>
  <rv s="0">
    <v>http://en.wikipedia.org/wiki/Caterpillar_Inc.</v>
    <v>Wikipedia</v>
  </rv>
  <rv s="1">
    <v>0</v>
    <v>25</v>
  </rv>
  <rv s="2">
    <v>6</v>
    <v>https://www.bing.com/th?id=AMMS_5f946e09982396613622ebabae1bd253&amp;qlt=95</v>
    <v>26</v>
    <v>0</v>
    <v>https://www.bing.com/images/search?form=xlimg&amp;q=caterpillar+inc.</v>
    <v>Image of CATERPILLAR INC.</v>
  </rv>
  <rv s="0">
    <v>https://www.bing.com/financeapi/forcetrigger?t=a1p7zr&amp;q=XNYS%3aCAT&amp;form=skydnc</v>
    <v>Learn more on Bing</v>
  </rv>
  <rv s="3">
    <v>en-US</v>
    <v>a1p7zr</v>
    <v>268435456</v>
    <v>1</v>
    <v>Powered by Refinitiv</v>
    <v>0</v>
    <v>CATERPILLAR INC. (XNYS:CAT)</v>
    <v>3</v>
    <v>4</v>
    <v>Finance</v>
    <v>5</v>
    <v>246.69</v>
    <v>142.72999999999999</v>
    <v>0.90259999999999996</v>
    <v>-1.7749999999999999</v>
    <v>-8.6280000000000003E-3</v>
    <v>USD</v>
    <v>Caterpillar Inc. is a manufacturer of construction and mining equipment, diesel and natural gas engines, industrial gas turbines and diesel-electric locomotives. The Company operates through segments, including Construction Industries, which is engaged in supporting customers using machinery in infrastructure, forestry and building construction; Resource Industries, which is engaged in supporting customers using machinery in mining, heavy construction, quarry, waste and material handling applications; Energy &amp; Transportation, which supports customers in oil and gas, power generation, marine, rail and industrial applications, including Cat machines; Financial Products segment, which provides financing and related services, and All Other operating segments, which includes activities, such as product management and development, and manufacturing of filters and fluids, undercarriage, ground engaging tools, fluid transfer products, and sealing and connecting components for Cat products.</v>
    <v>97300</v>
    <v>New York Stock Exchange</v>
    <v>XNYS</v>
    <v>XNYS</v>
    <v>510 Lake Cook Rd Ste 100, DEERFIELD, IL, 60015-4971 US</v>
    <v>206.39</v>
    <v>27</v>
    <v>Machinery, Equipment &amp; Components</v>
    <v>Stock</v>
    <v>44455.746305346875</v>
    <v>28</v>
    <v>202.85</v>
    <v>111659549782</v>
    <v>CATERPILLAR INC.</v>
    <v>CATERPILLAR INC.</v>
    <v>205.52</v>
    <v>26.284500000000001</v>
    <v>205.73</v>
    <v>203.95500000000001</v>
    <v>547471500</v>
    <v>CAT</v>
    <v>CATERPILLAR INC. (XNYS:CAT)</v>
    <v>1468634</v>
    <v>3183995</v>
    <v>1986</v>
  </rv>
  <rv s="4">
    <v>29</v>
  </rv>
  <rv s="0">
    <v>http://en.wikipedia.org/wiki/Cisco_Systems</v>
    <v>Wikipedia</v>
  </rv>
  <rv s="1">
    <v>0</v>
    <v>31</v>
  </rv>
  <rv s="2">
    <v>6</v>
    <v>https://www.bing.com/th?id=AMMS_260a2f4e042134ccb72dfe738e09a885&amp;qlt=95</v>
    <v>32</v>
    <v>0</v>
    <v>https://www.bing.com/images/search?form=xlimg&amp;q=cisco+systems</v>
    <v>Image of CISCO SYSTEMS, INC.</v>
  </rv>
  <rv s="0">
    <v>https://www.bing.com/financeapi/forcetrigger?t=a1qe5r&amp;q=XNAS%3aCSCO&amp;form=skydnc</v>
    <v>Learn more on Bing</v>
  </rv>
  <rv s="3">
    <v>en-US</v>
    <v>a1qe5r</v>
    <v>268435456</v>
    <v>1</v>
    <v>Powered by Refinitiv</v>
    <v>0</v>
    <v>CISCO SYSTEMS, INC. (XNAS:CSCO)</v>
    <v>3</v>
    <v>4</v>
    <v>Finance</v>
    <v>5</v>
    <v>60.27</v>
    <v>35.28</v>
    <v>0.90500000000000003</v>
    <v>-0.245</v>
    <v>-4.2559999999999994E-3</v>
    <v>USD</v>
    <v>Cisco Systems, Inc is engaged in designing and selling a range of technologies across networking, security, collaboration, applications and the cloud. It operates through three geographic segments: Americas; Europe, Middle East, and Africa; and Asia Pacific, Japan, and China. Its product and technologies include infrastructure platforms; applications; security and other products. Infrastructure Platforms consists of its core networking technologies of switching, routing, data center products and wireless that are designed to work together to deliver networking capabilities and transport and store data. Application product category consists primarily of software-related offerings that utilize the core networking and data center platforms to provide their functions. Security product category primarily includes unified threat management products, threat security products and Web security products. Its subsidiary, ThousandEyes, Inc., offers Internet and cloud intelligence platform.</v>
    <v>77500</v>
    <v>Nasdaq Stock Market</v>
    <v>XNAS</v>
    <v>XNAS</v>
    <v>170 West Tasman Dr, SAN JOSE, CA, 95134-1706 US</v>
    <v>58.82</v>
    <v>33</v>
    <v>Communications &amp; Networking</v>
    <v>Stock</v>
    <v>44455.746399385935</v>
    <v>34</v>
    <v>57.125</v>
    <v>241739538840</v>
    <v>CISCO SYSTEMS, INC.</v>
    <v>CISCO SYSTEMS, INC.</v>
    <v>58.31</v>
    <v>23.021799999999999</v>
    <v>57.56</v>
    <v>57.314999999999998</v>
    <v>4217736000</v>
    <v>CSCO</v>
    <v>CISCO SYSTEMS, INC. (XNAS:CSCO)</v>
    <v>14092805</v>
    <v>16295942</v>
    <v>2021</v>
  </rv>
  <rv s="4">
    <v>35</v>
  </rv>
  <rv s="0">
    <v>https://www.bing.com/financeapi/forcetrigger?t=a1qlz2&amp;q=XNYS%3aCVX&amp;form=skydnc</v>
    <v>Learn more on Bing</v>
  </rv>
  <rv s="5">
    <v>en-US</v>
    <v>a1qlz2</v>
    <v>268435456</v>
    <v>1</v>
    <v>Powered by Refinitiv</v>
    <v>7</v>
    <v>CHEVRON CORPORATION (XNYS:CVX)</v>
    <v>8</v>
    <v>9</v>
    <v>Finance</v>
    <v>5</v>
    <v>113.11</v>
    <v>65.16</v>
    <v>1.2968</v>
    <v>-0.65</v>
    <v>-6.6159999999999995E-3</v>
    <v>USD</v>
    <v>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v>
    <v>47736</v>
    <v>New York Stock Exchange</v>
    <v>XNYS</v>
    <v>XNYS</v>
    <v>6001 Bollinger Canyon Rd, SAN RAMON, CA, 94583-2324 US</v>
    <v>98.58</v>
    <v>Oil &amp; Gas</v>
    <v>Stock</v>
    <v>44455.746355207812</v>
    <v>37</v>
    <v>96.91</v>
    <v>188730472080</v>
    <v>CHEVRON CORPORATION</v>
    <v>CHEVRON CORPORATION</v>
    <v>98.37</v>
    <v>52.742899999999999</v>
    <v>98.24</v>
    <v>97.59</v>
    <v>1933912000</v>
    <v>CVX</v>
    <v>CHEVRON CORPORATION (XNYS:CVX)</v>
    <v>6637640</v>
    <v>10555362</v>
    <v>1926</v>
  </rv>
  <rv s="4">
    <v>38</v>
  </rv>
  <rv s="0">
    <v>http://en.wikipedia.org/wiki/Goldman_Sachs</v>
    <v>Wikipedia</v>
  </rv>
  <rv s="1">
    <v>0</v>
    <v>40</v>
  </rv>
  <rv s="2">
    <v>6</v>
    <v>https://www.bing.com/th?id=AMMS_2f362d8bafa3276f41a517a3b845586a&amp;qlt=95</v>
    <v>41</v>
    <v>0</v>
    <v>https://www.bing.com/images/search?form=xlimg&amp;q=goldman+sachs</v>
    <v>Image of THE GOLDMAN SACHS GROUP, INC.</v>
  </rv>
  <rv s="0">
    <v>https://www.bing.com/financeapi/forcetrigger?t=a1u7xm&amp;q=XNYS%3aGS&amp;form=skydnc</v>
    <v>Learn more on Bing</v>
  </rv>
  <rv s="3">
    <v>en-US</v>
    <v>a1u7xm</v>
    <v>268435456</v>
    <v>1</v>
    <v>Powered by Refinitiv</v>
    <v>0</v>
    <v>THE GOLDMAN SACHS GROUP, INC. (XNYS:GS)</v>
    <v>3</v>
    <v>4</v>
    <v>Finance</v>
    <v>5</v>
    <v>420.75990000000002</v>
    <v>185.52</v>
    <v>1.4927999999999999</v>
    <v>-5.4981</v>
    <v>-1.3678999999999998E-2</v>
    <v>USD</v>
    <v>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v>
    <v>40800</v>
    <v>New York Stock Exchange</v>
    <v>XNYS</v>
    <v>XNYS</v>
    <v>200 West St, NEW YORK, NY, 10282-2102 US</v>
    <v>405.98</v>
    <v>42</v>
    <v>Investment Banking &amp; Investment Services</v>
    <v>Stock</v>
    <v>44455.746392800778</v>
    <v>43</v>
    <v>394.89</v>
    <v>133642944360</v>
    <v>THE GOLDMAN SACHS GROUP, INC.</v>
    <v>THE GOLDMAN SACHS GROUP, INC.</v>
    <v>403.42</v>
    <v>7.3510999999999997</v>
    <v>401.95</v>
    <v>396.45190000000002</v>
    <v>337097500</v>
    <v>GS</v>
    <v>THE GOLDMAN SACHS GROUP, INC. (XNYS:GS)</v>
    <v>1510420</v>
    <v>2068311</v>
    <v>1998</v>
  </rv>
  <rv s="4">
    <v>44</v>
  </rv>
  <rv s="0">
    <v>http://en.wikipedia.org/wiki/The_Home_Depot</v>
    <v>Wikipedia</v>
  </rv>
  <rv s="1">
    <v>0</v>
    <v>46</v>
  </rv>
  <rv s="2">
    <v>6</v>
    <v>https://www.bing.com/th?id=AMMS_420c97329b2ef989466d21a3475da4c5&amp;qlt=95</v>
    <v>47</v>
    <v>0</v>
    <v>https://www.bing.com/images/search?form=xlimg&amp;q=the+home+depot</v>
    <v>Image of THE HOME DEPOT, INC.</v>
  </rv>
  <rv s="0">
    <v>https://www.bing.com/financeapi/forcetrigger?t=a1uj52&amp;q=XNYS%3aHD&amp;form=skydnc</v>
    <v>Learn more on Bing</v>
  </rv>
  <rv s="3">
    <v>en-US</v>
    <v>a1uj52</v>
    <v>268435456</v>
    <v>1</v>
    <v>Powered by Refinitiv</v>
    <v>0</v>
    <v>THE HOME DEPOT, INC. (XNYS:HD)</v>
    <v>3</v>
    <v>4</v>
    <v>Finance</v>
    <v>5</v>
    <v>345.69</v>
    <v>246.59</v>
    <v>1.0129999999999999</v>
    <v>2.34</v>
    <v>7.0190000000000001E-3</v>
    <v>USD</v>
    <v>The Home Depot, Inc. is a home improvement retailer. The Company offers its customers an assortment of building materials, home improvement products, lawn and garden products, decor products, and facilities maintenance, repair and operations products and provide a number of services, including home improvement installation services and tool and equipment rental. It operates approximately 2,296 The Home Depot stores located throughout the United States (U.S.), including the Commonwealth of Puerto Rico and the territories of the U.S. Virgin Islands and Guam; Canada and Mexico. It serve two primary customer groups: do-it-yourself (DIY) Customers and Professional Customers (Pros). DIY Customers include home owners who purchase products and complete their own projects and installations. Pros are primarily professional renovators/remodelers, general contractors, handymen, property managers, building service contractors and specialty tradesmen, such as electricians, plumbers and painters.</v>
    <v>504800</v>
    <v>New York Stock Exchange</v>
    <v>XNYS</v>
    <v>XNYS</v>
    <v>2455 Paces Ferry Rd SE, ATLANTA, GA, 30339-6444 US</v>
    <v>337.84</v>
    <v>48</v>
    <v>Specialty Retailers</v>
    <v>Stock</v>
    <v>44455.746295878904</v>
    <v>49</v>
    <v>334.17</v>
    <v>351824900000</v>
    <v>THE HOME DEPOT, INC.</v>
    <v>THE HOME DEPOT, INC.</v>
    <v>334.72</v>
    <v>23.450099999999999</v>
    <v>333.37</v>
    <v>335.71</v>
    <v>1055359000</v>
    <v>HD</v>
    <v>THE HOME DEPOT, INC. (XNYS:HD)</v>
    <v>1537181</v>
    <v>3290399</v>
    <v>1978</v>
  </rv>
  <rv s="4">
    <v>50</v>
  </rv>
  <rv s="0">
    <v>http://en.wikipedia.org/wiki/Honeywell</v>
    <v>Wikipedia</v>
  </rv>
  <rv s="1">
    <v>0</v>
    <v>52</v>
  </rv>
  <rv s="2">
    <v>6</v>
    <v>https://www.bing.com/th?id=AMMS_6449da466dbe4d24089aa2e66abcf5cd&amp;qlt=95</v>
    <v>53</v>
    <v>0</v>
    <v>https://www.bing.com/images/search?form=xlimg&amp;q=honeywell</v>
    <v>Image of HONEYWELL INTERNATIONAL INC.</v>
  </rv>
  <rv s="0">
    <v>https://www.bing.com/financeapi/forcetrigger?t=a1ut3m&amp;q=XNAS%3aHON&amp;form=skydnc</v>
    <v>Learn more on Bing</v>
  </rv>
  <rv s="3">
    <v>en-US</v>
    <v>a1ut3m</v>
    <v>268435456</v>
    <v>1</v>
    <v>Powered by Refinitiv</v>
    <v>0</v>
    <v>HONEYWELL INTERNATIONAL INC. (XNAS:HON)</v>
    <v>3</v>
    <v>4</v>
    <v>Finance</v>
    <v>5</v>
    <v>236.86</v>
    <v>156.851</v>
    <v>1.1560999999999999</v>
    <v>-1.93</v>
    <v>-8.7060000000000002E-3</v>
    <v>USD</v>
    <v>Honeywell International Inc. is a technology and manufacturing company. The Company operates through four segments: Aerospace, Honeywell Building Technologies, Performance Materials and Technologies, and Safety and Productivity Solutions. The Company's Aerospace segment supplies products, software and services for aircraft and vehicles that it sells to original equipment manufacturers (OEMs) and other customers. The Honeywell Building Technologies segment provides products, software, solutions and technologies that helps building owners and occupants to ensure their facilities are safe, energy efficient, sustainable and productive. The Performance Materials and Technologies segment is engaged in developing and manufacturing performance chemicals and materials, process technologies and automation solutions. The Safety and Productivity Solutions segment is engaged in providing products and software to customers that manage productivity, workplace safety and asset performance.</v>
    <v>103000</v>
    <v>Nasdaq Stock Market</v>
    <v>XNAS</v>
    <v>XNAS</v>
    <v>855 S. Mint Street, CHARLOTTE, NC, 28202 US</v>
    <v>221.41</v>
    <v>54</v>
    <v>Consumer Goods Conglomerates</v>
    <v>Stock</v>
    <v>44455.746407024999</v>
    <v>55</v>
    <v>218.54</v>
    <v>151722150168</v>
    <v>HONEYWELL INTERNATIONAL INC.</v>
    <v>HONEYWELL INTERNATIONAL INC.</v>
    <v>221.27</v>
    <v>31.474699999999999</v>
    <v>221.69</v>
    <v>219.76</v>
    <v>690399300</v>
    <v>HON</v>
    <v>HONEYWELL INTERNATIONAL INC. (XNAS:HON)</v>
    <v>925680</v>
    <v>2042922</v>
    <v>1999</v>
  </rv>
  <rv s="4">
    <v>56</v>
  </rv>
  <rv s="0">
    <v>http://en.wikipedia.org/wiki/IBM</v>
    <v>Wikipedia</v>
  </rv>
  <rv s="1">
    <v>0</v>
    <v>58</v>
  </rv>
  <rv s="2">
    <v>6</v>
    <v>https://www.bing.com/th?id=AMMS_41da901be1b295dc42c72dadb9c0f67d&amp;qlt=95</v>
    <v>59</v>
    <v>0</v>
    <v>https://www.bing.com/images/search?form=xlimg&amp;q=ibm</v>
    <v>Image of INTERNATIONAL BUSINESS MACHINES CORPORATION</v>
  </rv>
  <rv s="0">
    <v>https://www.bing.com/financeapi/forcetrigger?t=a1v6nm&amp;q=XNYS%3aIBM&amp;form=skydnc</v>
    <v>Learn more on Bing</v>
  </rv>
  <rv s="3">
    <v>en-US</v>
    <v>a1v6nm</v>
    <v>268435456</v>
    <v>1</v>
    <v>Powered by Refinitiv</v>
    <v>0</v>
    <v>INTERNATIONAL BUSINESS MACHINES CORPORATION (XNYS:IBM)</v>
    <v>3</v>
    <v>4</v>
    <v>Finance</v>
    <v>5</v>
    <v>152.84</v>
    <v>105.92</v>
    <v>1.2134</v>
    <v>-0.87</v>
    <v>-6.3410000000000003E-3</v>
    <v>USD</v>
    <v>International Business Machines Corporation (IBM) is a technology company. The Company operates through five segments: Cloud &amp; Cognitive Software, Global Business Services, Global Technology Services, Systems and Global Financing. The Cloud &amp; Cognitive Software Solutions segment delivers integrated and secure cloud, data and artificial intelligence (AI) solutions to its clients. It comprises three business areas: cognitive applications, cloud &amp; data platforms, and transaction processing platforms. Global Business Services segment provides consulting, business process and application management services. Its Global Technology Services segment provides information technology (IT) infrastructure and platform services. The Systems segment provides infrastructure platforms to help meet the requirements of multi-cloud and enterprise AI workloads. Its Global Financing segment is engaged in financing, which is primarily conducted through IBM Credit LLC, and remanufacturing and remarketing.</v>
    <v>375300</v>
    <v>New York Stock Exchange</v>
    <v>XNYS</v>
    <v>XNYS</v>
    <v>1 New Orchard Rd, ARMONK, NY, 10504-1722 US</v>
    <v>137.94999999999999</v>
    <v>60</v>
    <v>Software &amp; IT Services</v>
    <v>Stock</v>
    <v>44455.746384628903</v>
    <v>61</v>
    <v>135.72</v>
    <v>122195319233</v>
    <v>INTERNATIONAL BUSINESS MACHINES CORPORATION</v>
    <v>INTERNATIONAL BUSINESS MACHINES CORPORATION</v>
    <v>137.34</v>
    <v>23.7029</v>
    <v>137.19999999999999</v>
    <v>136.33000000000001</v>
    <v>896320100</v>
    <v>IBM</v>
    <v>INTERNATIONAL BUSINESS MACHINES CORPORATION (XNYS:IBM)</v>
    <v>1253312</v>
    <v>3031099</v>
    <v>1911</v>
  </rv>
  <rv s="4">
    <v>62</v>
  </rv>
  <rv s="0">
    <v>https://www.bing.com/financeapi/forcetrigger?t=a1vmf2&amp;q=XNAS%3aINTC&amp;form=skydnc</v>
    <v>Learn more on Bing</v>
  </rv>
  <rv s="5">
    <v>en-US</v>
    <v>a1vmf2</v>
    <v>268435456</v>
    <v>1</v>
    <v>Powered by Refinitiv</v>
    <v>7</v>
    <v>INTEL CORPORATION (XNAS:INTC)</v>
    <v>8</v>
    <v>9</v>
    <v>Finance</v>
    <v>5</v>
    <v>68.489999999999995</v>
    <v>43.61</v>
    <v>0.59389999999999998</v>
    <v>-0.59009999999999996</v>
    <v>-1.0706E-2</v>
    <v>USD</v>
    <v>Intel Corporation is engaged in designing and manufacturing products and technologies. The Company’s segments are Data Center Group (DCG), Internet of Things Group (IOTG), Mobileye, Non-Volatile Memory Solutions Group (NSG) and Programmable Solutions Group (PSG). DCG segment develops workload-optimization platforms for compute, storage and network functions. IOTG segment develops high-performance compute platforms that solve for technology and business use cases that can scale across vertical industries and embedded markets. Mobileye segment provides driving assistance and self-driving solutions. NSG segment provides memory and storage products based on Intel Optane technology and Intel three dimensional (3D) NAND technology. PSG segment offers programmable semiconductors, primarily FPGAs and Application-Specific Integrated Circuits (ASICs) and related products.</v>
    <v>110600</v>
    <v>Nasdaq Stock Market</v>
    <v>XNAS</v>
    <v>XNAS</v>
    <v>2200 Mission College Blvd, SANTA CLARA, CA, 95054-1537 US</v>
    <v>54.875799999999998</v>
    <v>Semiconductors &amp; Semiconductor Equipment</v>
    <v>Stock</v>
    <v>44455.746362950784</v>
    <v>64</v>
    <v>54.240099999999998</v>
    <v>221227804300</v>
    <v>INTEL CORPORATION</v>
    <v>INTEL CORPORATION</v>
    <v>54.8</v>
    <v>12.2585</v>
    <v>55.12</v>
    <v>54.529899999999998</v>
    <v>4057000000</v>
    <v>INTC</v>
    <v>INTEL CORPORATION (XNAS:INTC)</v>
    <v>9674561</v>
    <v>18491568</v>
    <v>1989</v>
  </rv>
  <rv s="4">
    <v>65</v>
  </rv>
  <rv s="0">
    <v>https://www.bing.com/financeapi/forcetrigger?t=a1w8ec&amp;q=XNYS%3aJNJ&amp;form=skydnc</v>
    <v>Learn more on Bing</v>
  </rv>
  <rv s="5">
    <v>en-US</v>
    <v>a1w8ec</v>
    <v>268435456</v>
    <v>1</v>
    <v>Powered by Refinitiv</v>
    <v>7</v>
    <v>JOHNSON &amp; JOHNSON (XNYS:JNJ)</v>
    <v>8</v>
    <v>9</v>
    <v>Finance</v>
    <v>5</v>
    <v>179.92</v>
    <v>133.65</v>
    <v>0.7107</v>
    <v>-0.88</v>
    <v>-5.3200000000000001E-3</v>
    <v>USD</v>
    <v>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v>
    <v>134500</v>
    <v>New York Stock Exchange</v>
    <v>XNYS</v>
    <v>XNYS</v>
    <v>One Johnson &amp; Johnson Plz, NEW BRUNSWICK, NJ, 08933 US</v>
    <v>166.45</v>
    <v>Pharmaceuticals</v>
    <v>Stock</v>
    <v>44455.746392777342</v>
    <v>67</v>
    <v>164.19</v>
    <v>433148588280</v>
    <v>JOHNSON &amp; JOHNSON</v>
    <v>JOHNSON &amp; JOHNSON</v>
    <v>165.75</v>
    <v>24.872199999999999</v>
    <v>165.42</v>
    <v>164.54</v>
    <v>2632482000</v>
    <v>JNJ</v>
    <v>JOHNSON &amp; JOHNSON (XNYS:JNJ)</v>
    <v>2568976</v>
    <v>5700647</v>
    <v>1887</v>
  </rv>
  <rv s="4">
    <v>68</v>
  </rv>
  <rv s="0">
    <v>http://ko.wikipedia.org/wiki/코카-콜라_컴퍼니</v>
    <v>Wikipedia</v>
  </rv>
  <rv s="1">
    <v>0</v>
    <v>70</v>
  </rv>
  <rv s="2">
    <v>6</v>
    <v>https://www.bing.com/th?id=AMMS_0f58fede1141f3a14e4956d25e8bd40a&amp;qlt=95</v>
    <v>71</v>
    <v>0</v>
    <v>https://www.bing.com/images/search?form=xlimg&amp;q=the+coca-cola+company</v>
    <v>Image of THE COCA-COLA COMPANY</v>
  </rv>
  <rv s="0">
    <v>https://www.bing.com/financeapi/forcetrigger?t=a1wljc&amp;q=XNYS%3aKO&amp;form=skydnc</v>
    <v>Learn more on Bing</v>
  </rv>
  <rv s="3">
    <v>en-US</v>
    <v>a1wljc</v>
    <v>268435456</v>
    <v>1</v>
    <v>Powered by Refinitiv</v>
    <v>0</v>
    <v>THE COCA-COLA COMPANY (XNYS:KO)</v>
    <v>3</v>
    <v>4</v>
    <v>Finance</v>
    <v>5</v>
    <v>57.56</v>
    <v>47.3</v>
    <v>0.62229999999999996</v>
    <v>-0.46</v>
    <v>-8.2319999999999997E-3</v>
    <v>USD</v>
    <v>The Coca-Cola Company is a beverage company. The Company owns or licenses and markets non-alcoholic beverage brands, primarily sparkling soft drinks; water, enhanced water and sports drinks; juice, dairy and plant-based beverages; tea and coffee; and energy drinks. The Company's segments include Europe, Middle East and Africa; Latin America; North America; Asia Pacific; Global Ventures; Bottling Investments, and Corporate. The Company markets, manufactures and sells beverage concentrates (beverage bases) and syrups, including fountain syrups and finished sparkling soft drinks and other nonalcoholic beverages. It owns and markets a range of non-alcoholic sparkling soft drink brands, including Coca-Cola, Diet Coke, Fanta and Sprite. The Company's branded beverage products are available to consumers in more than 200 countries and territories through its network of independent bottling partners, distributors, wholesalers and retailers as well as its bottling and distribution operations.</v>
    <v>80300</v>
    <v>New York Stock Exchange</v>
    <v>XNYS</v>
    <v>XNYS</v>
    <v>1 Coca Cola Plz NW, ATLANTA, GA, 30313-2420 US</v>
    <v>55.984999999999999</v>
    <v>72</v>
    <v>Beverages</v>
    <v>Stock</v>
    <v>44455.746369212502</v>
    <v>73</v>
    <v>54.82</v>
    <v>239227024980</v>
    <v>THE COCA-COLA COMPANY</v>
    <v>THE COCA-COLA COMPANY</v>
    <v>55.77</v>
    <v>29.952500000000001</v>
    <v>55.88</v>
    <v>55.42</v>
    <v>4316619000</v>
    <v>KO</v>
    <v>THE COCA-COLA COMPANY (XNYS:KO)</v>
    <v>9352564</v>
    <v>11575690</v>
    <v>1919</v>
  </rv>
  <rv s="4">
    <v>74</v>
  </rv>
  <rv s="0">
    <v>http://en.wikipedia.org/wiki/JPMorgan_Chase</v>
    <v>Wikipedia</v>
  </rv>
  <rv s="1">
    <v>0</v>
    <v>76</v>
  </rv>
  <rv s="2">
    <v>6</v>
    <v>https://www.bing.com/th?id=AMMS_06392bb84e5fdc62d2356a2306f4ae1e&amp;qlt=95</v>
    <v>77</v>
    <v>0</v>
    <v>https://www.bing.com/images/search?form=xlimg&amp;q=jpmorgan+chase</v>
    <v>Image of JPMORGAN CHASE &amp; CO.</v>
  </rv>
  <rv s="0">
    <v>https://www.bing.com/financeapi/forcetrigger?t=a1waa2&amp;q=XNYS%3aJPM&amp;form=skydnc</v>
    <v>Learn more on Bing</v>
  </rv>
  <rv s="3">
    <v>en-US</v>
    <v>a1waa2</v>
    <v>268435456</v>
    <v>1</v>
    <v>Powered by Refinitiv</v>
    <v>0</v>
    <v>JPMORGAN CHASE &amp; CO. (XNYS:JPM)</v>
    <v>3</v>
    <v>4</v>
    <v>Finance</v>
    <v>5</v>
    <v>167.44</v>
    <v>91.38</v>
    <v>1.1858</v>
    <v>0.17</v>
    <v>1.075E-3</v>
    <v>USD</v>
    <v>JPMorgan Chase &amp; Co. is a financial holding company. The Company is engaged in investment banking, financial services and asset management. It operates in four segments, as well as a Corporate segment. Its segments are Consumer &amp; Community Banking, Corporate &amp; Investment Bank, Commercial Banking and Asset Management. The Consumer &amp; Community Banking segment offers services to consumers and businesses through bank branches, automatic teller machines, online, mobile and telephone banking. The Corporate &amp; Investment Bank segment, comprising Banking and Markets and Investor Services, offers investment banking, market-making, prime brokerage, and treasury and securities products and services to corporations, investors, financial institutions, and government and municipal entities. The Commercial Banking segment provides financial solutions, including lending, treasury services, investment banking and asset management. The Asset Management segment comprises investment and wealth management.</v>
    <v>260110</v>
    <v>New York Stock Exchange</v>
    <v>XNYS</v>
    <v>XNYS</v>
    <v>383 Madison Ave, NEW YORK, NY, 10017-3217 US</v>
    <v>160.83959999999999</v>
    <v>78</v>
    <v>Banking Services</v>
    <v>Stock</v>
    <v>44455.74634297422</v>
    <v>79</v>
    <v>157.22</v>
    <v>473114581150</v>
    <v>JPMORGAN CHASE &amp; CO.</v>
    <v>JPMORGAN CHASE &amp; CO.</v>
    <v>159.08000000000001</v>
    <v>10.547499999999999</v>
    <v>158.16</v>
    <v>158.33000000000001</v>
    <v>2988155000</v>
    <v>JPM</v>
    <v>JPMORGAN CHASE &amp; CO. (XNYS:JPM)</v>
    <v>5258411</v>
    <v>9158960</v>
    <v>1968</v>
  </rv>
  <rv s="4">
    <v>80</v>
  </rv>
  <rv s="0">
    <v>http://en.wikipedia.org/wiki/McDonald's</v>
    <v>Wikipedia</v>
  </rv>
  <rv s="1">
    <v>0</v>
    <v>82</v>
  </rv>
  <rv s="2">
    <v>6</v>
    <v>https://www.bing.com/th?id=AMMS_7d8255243964a8970376f8dd41121106&amp;qlt=95</v>
    <v>83</v>
    <v>0</v>
    <v>https://www.bing.com/images/search?form=xlimg&amp;q=mcdonald%27s</v>
    <v>Image of MCDONALD'S CORPORATION</v>
  </rv>
  <rv s="0">
    <v>https://www.bing.com/financeapi/forcetrigger?t=a1xdec&amp;q=XNYS%3aMCD&amp;form=skydnc</v>
    <v>Learn more on Bing</v>
  </rv>
  <rv s="3">
    <v>en-US</v>
    <v>a1xdec</v>
    <v>268435456</v>
    <v>1</v>
    <v>Powered by Refinitiv</v>
    <v>0</v>
    <v>MCDONALD'S CORPORATION (XNYS:MCD)</v>
    <v>3</v>
    <v>4</v>
    <v>Finance</v>
    <v>5</v>
    <v>247.05</v>
    <v>202.73</v>
    <v>0.623</v>
    <v>1.1499999999999999</v>
    <v>4.7720000000000002E-3</v>
    <v>USD</v>
    <v>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v>
    <v>200000</v>
    <v>New York Stock Exchange</v>
    <v>XNYS</v>
    <v>XNYS</v>
    <v>110 N Carpenter St, CHICAGO, IL, 60607-2104 US</v>
    <v>242.82</v>
    <v>84</v>
    <v>Hotels &amp; Entertainment Services</v>
    <v>Stock</v>
    <v>44455.746334710158</v>
    <v>85</v>
    <v>239.95</v>
    <v>180822417657</v>
    <v>MCDONALD'S CORPORATION</v>
    <v>MCDONALD'S CORPORATION</v>
    <v>240.98</v>
    <v>26.245899999999999</v>
    <v>240.98</v>
    <v>242.13</v>
    <v>746798900</v>
    <v>MCD</v>
    <v>MCDONALD'S CORPORATION (XNYS:MCD)</v>
    <v>1256801</v>
    <v>2045025</v>
    <v>1964</v>
  </rv>
  <rv s="4">
    <v>86</v>
  </rv>
  <rv s="0">
    <v>http://en.wikipedia.org/wiki/3M</v>
    <v>Wikipedia</v>
  </rv>
  <rv s="1">
    <v>0</v>
    <v>88</v>
  </rv>
  <rv s="2">
    <v>6</v>
    <v>https://www.bing.com/th?id=AMMS_32000850961e4a70971cc92b1cc2e7cc&amp;qlt=95</v>
    <v>89</v>
    <v>0</v>
    <v>https://www.bing.com/images/search?form=xlimg&amp;q=3m</v>
    <v>Image of 3M COMPANY</v>
  </rv>
  <rv s="0">
    <v>https://www.bing.com/financeapi/forcetrigger?t=a1xroc&amp;q=XNYS%3aMMM&amp;form=skydnc</v>
    <v>Learn more on Bing</v>
  </rv>
  <rv s="3">
    <v>en-US</v>
    <v>a1xroc</v>
    <v>268435456</v>
    <v>1</v>
    <v>Powered by Refinitiv</v>
    <v>0</v>
    <v>3M COMPANY (XNYS:MMM)</v>
    <v>3</v>
    <v>4</v>
    <v>Finance</v>
    <v>5</v>
    <v>208.95</v>
    <v>156.13</v>
    <v>0.95950000000000002</v>
    <v>-1.39</v>
    <v>-7.5470000000000008E-3</v>
    <v>USD</v>
    <v>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v>
    <v>94987</v>
    <v>New York Stock Exchange</v>
    <v>XNYS</v>
    <v>XNYS</v>
    <v>3M Center, Bldg. 220-13E-26A, SAINT PAUL, MN, 55144-1000 US</v>
    <v>184.6</v>
    <v>90</v>
    <v>Consumer Goods Conglomerates</v>
    <v>Stock</v>
    <v>44455.746316863282</v>
    <v>91</v>
    <v>181.82429999999999</v>
    <v>105775062960</v>
    <v>3M COMPANY</v>
    <v>3M COMPANY</v>
    <v>184.38</v>
    <v>18.122399999999999</v>
    <v>184.19</v>
    <v>182.8</v>
    <v>578638200</v>
    <v>MMM</v>
    <v>3M COMPANY (XNYS:MMM)</v>
    <v>1182750</v>
    <v>2398610</v>
    <v>1929</v>
  </rv>
  <rv s="4">
    <v>92</v>
  </rv>
  <rv s="0">
    <v>http://it.wikipedia.org/wiki/Merck_&amp;_Co.</v>
    <v>Wikipedia</v>
  </rv>
  <rv s="1">
    <v>0</v>
    <v>94</v>
  </rv>
  <rv s="2">
    <v>6</v>
    <v>https://www.bing.com/th?id=AMMS_efa150b9f273196aee0d1e5e2cca585a&amp;qlt=95</v>
    <v>95</v>
    <v>0</v>
    <v>https://www.bing.com/images/search?form=xlimg&amp;q=merck+%26+co.</v>
    <v>Image of MERCK &amp; CO., INC.</v>
  </rv>
  <rv s="0">
    <v>https://www.bing.com/financeapi/forcetrigger?t=a1xxmw&amp;q=XNYS%3aMRK&amp;form=skydnc</v>
    <v>Learn more on Bing</v>
  </rv>
  <rv s="3">
    <v>en-US</v>
    <v>a1xxmw</v>
    <v>268435456</v>
    <v>1</v>
    <v>Powered by Refinitiv</v>
    <v>0</v>
    <v>MERCK &amp; CO., INC. (XNYS:MRK)</v>
    <v>3</v>
    <v>4</v>
    <v>Finance</v>
    <v>5</v>
    <v>82.289299999999997</v>
    <v>68.382099999999994</v>
    <v>0.4325</v>
    <v>-0.84</v>
    <v>-1.1536999999999999E-2</v>
    <v>USD</v>
    <v>Merck &amp; Co., Inc. is a global health care company. The Company offers health solutions through its prescription medicines, vaccines, biologic therapies and animal health products. It operates through two segments: Pharmaceutical and Animal Health. The Company's Pharmaceutical segment includes human health pharmaceutical and vaccine products. Its human health pharmaceutical products consist of therapeutic and preventive agents, generally sold by prescription, for the treatment of human disorders. The Company sells these human health pharmaceutical products primarily to drug wholesalers and retailers, hospitals, government agencies and managed health care providers such as health maintenance organizations. The Animal Health segment develops, manufactures and markets a wide range of veterinary pharmaceutical and vaccine products, as well as health management solutions and services, for the prevention, treatment and control of disease in all major livestock and companion animal species.</v>
    <v>74000</v>
    <v>New York Stock Exchange</v>
    <v>XNYS</v>
    <v>XNYS</v>
    <v>2000 Galloping Hill Rd, KENILWORTH, NJ, 07033-1310 US</v>
    <v>72.959999999999994</v>
    <v>96</v>
    <v>Pharmaceuticals</v>
    <v>Stock</v>
    <v>44455.746374363283</v>
    <v>97</v>
    <v>71.696799999999996</v>
    <v>182183058750</v>
    <v>MERCK &amp; CO., INC.</v>
    <v>MERCK &amp; CO., INC.</v>
    <v>72.95</v>
    <v>38.536200000000001</v>
    <v>72.81</v>
    <v>71.97</v>
    <v>2531375000</v>
    <v>MRK</v>
    <v>MERCK &amp; CO., INC. (XNYS:MRK)</v>
    <v>6722810</v>
    <v>8985181</v>
    <v>1970</v>
  </rv>
  <rv s="4">
    <v>98</v>
  </rv>
  <rv s="0">
    <v>https://en.wikipedia.org/wiki/Microsoft</v>
    <v>Wikipedia</v>
  </rv>
  <rv s="1">
    <v>0</v>
    <v>100</v>
  </rv>
  <rv s="2">
    <v>6</v>
    <v>https://www.bing.com/th?id=AMMS_1435b697418eae5bfbed034f46c28dc4&amp;qlt=95</v>
    <v>101</v>
    <v>0</v>
    <v>https://www.bing.com/images/search?form=xlimg&amp;q=microsoft</v>
    <v>Image of MICROSOFT CORPORATION</v>
  </rv>
  <rv s="0">
    <v>https://www.bing.com/financeapi/forcetrigger?t=a1xzim&amp;q=XNAS%3aMSFT&amp;form=skydnc</v>
    <v>Learn more on Bing</v>
  </rv>
  <rv s="3">
    <v>en-US</v>
    <v>a1xzim</v>
    <v>268435456</v>
    <v>1</v>
    <v>Powered by Refinitiv</v>
    <v>0</v>
    <v>MICROSOFT CORPORATION (XNAS:MSFT)</v>
    <v>3</v>
    <v>4</v>
    <v>Finance</v>
    <v>5</v>
    <v>305.83999999999997</v>
    <v>196.25</v>
    <v>0.77710000000000001</v>
    <v>-1.67</v>
    <v>-5.4790000000000004E-3</v>
    <v>USD</v>
    <v>Microsoft Corporation is a technology company. The Company develops and supports a range of software products, services, devices, and solutions. The Company's segments include Productivity and Business Processes, Intelligent Cloud, and More Personal Computing. The Company's products include operating systems; cross-device productivity applications; server applications; business solution applications; desktop and server management tools; software development tools; and video games. It also designs, manufactures, and sells devices, including personal computers (PCs), tablets, gaming and entertainment consoles, other intelligent devices, and related accessories. It offers an array of services, including cloud-based solutions that provide customers with software, services, platforms, and content, and it provides solution support and consulting services. It markets and distributes its products and services through original equipment manufacturers, direct, and distributors and resellers.</v>
    <v>181000</v>
    <v>Nasdaq Stock Market</v>
    <v>XNAS</v>
    <v>XNAS</v>
    <v>1 Microsoft Way, REDMOND, WA, 98052-6399 US</v>
    <v>304.38</v>
    <v>102</v>
    <v>Software &amp; IT Services</v>
    <v>Stock</v>
    <v>44455.746386330466</v>
    <v>103</v>
    <v>300.76</v>
    <v>2278139206650</v>
    <v>MICROSOFT CORPORATION</v>
    <v>MICROSOFT CORPORATION</v>
    <v>303.76</v>
    <v>37.841999999999999</v>
    <v>304.82</v>
    <v>303.14999999999998</v>
    <v>7514891000</v>
    <v>MSFT</v>
    <v>MICROSOFT CORPORATION (XNAS:MSFT)</v>
    <v>10415141</v>
    <v>20857795</v>
    <v>1993</v>
  </rv>
  <rv s="4">
    <v>104</v>
  </rv>
  <rv s="0">
    <v>http://en.wikipedia.org/wiki/Nike,_Inc.</v>
    <v>Wikipedia</v>
  </rv>
  <rv s="1">
    <v>0</v>
    <v>106</v>
  </rv>
  <rv s="2">
    <v>6</v>
    <v>https://www.bing.com/th?id=AMMS_c80a0742f96c703ccb2c230701098a7d&amp;qlt=95</v>
    <v>107</v>
    <v>0</v>
    <v>https://www.bing.com/images/search?form=xlimg&amp;q=nike+inc</v>
    <v>Image of NIKE, INC.</v>
  </rv>
  <rv s="0">
    <v>https://www.bing.com/financeapi/forcetrigger?t=a1yjxm&amp;q=XNYS%3aNKE&amp;form=skydnc</v>
    <v>Learn more on Bing</v>
  </rv>
  <rv s="3">
    <v>en-US</v>
    <v>a1yjxm</v>
    <v>268435456</v>
    <v>1</v>
    <v>Powered by Refinitiv</v>
    <v>0</v>
    <v>NIKE, INC. (XNYS:NKE)</v>
    <v>3</v>
    <v>4</v>
    <v>Finance</v>
    <v>10</v>
    <v>174.38</v>
    <v>111.74</v>
    <v>0.86729999999999996</v>
    <v>-0.11</v>
    <v>-6.9660000000000002E-4</v>
    <v>USD</v>
    <v>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v>
    <v>73300</v>
    <v>New York Stock Exchange</v>
    <v>XNYS</v>
    <v>XNYS</v>
    <v>1 SW Bowerman Dr, BEAVERTON, OR, 97005-6453 US</v>
    <v>159.01</v>
    <v>108</v>
    <v>Textiles &amp; Apparel</v>
    <v>Stock</v>
    <v>44455.735957765624</v>
    <v>109</v>
    <v>157.19999999999999</v>
    <v>249812864400</v>
    <v>NIKE, INC.</v>
    <v>NIKE, INC.</v>
    <v>157.59</v>
    <v>44.389400000000002</v>
    <v>157.91</v>
    <v>157.80000000000001</v>
    <v>1583098000</v>
    <v>NKE</v>
    <v>NIKE, INC. (XNYS:NKE)</v>
    <v>2445012</v>
    <v>4904172</v>
    <v>1969</v>
  </rv>
  <rv s="4">
    <v>110</v>
  </rv>
  <rv s="0">
    <v>http://es.wikipedia.org/wiki/Procter_&amp;_Gamble</v>
    <v>Wikipedia</v>
  </rv>
  <rv s="1">
    <v>0</v>
    <v>112</v>
  </rv>
  <rv s="2">
    <v>6</v>
    <v>https://www.bing.com/th?id=AMMS_cc4a03e64239b604b8c556018d54c518&amp;qlt=95</v>
    <v>113</v>
    <v>0</v>
    <v>https://www.bing.com/images/search?form=xlimg&amp;q=procter+%26+gamble</v>
    <v>Image of THE PROCTER &amp; GAMBLE COMPANY</v>
  </rv>
  <rv s="0">
    <v>https://www.bing.com/financeapi/forcetrigger?t=a1zsjc&amp;q=XNYS%3aPG&amp;form=skydnc</v>
    <v>Learn more on Bing</v>
  </rv>
  <rv s="3">
    <v>en-US</v>
    <v>a1zsjc</v>
    <v>268435456</v>
    <v>1</v>
    <v>Powered by Refinitiv</v>
    <v>0</v>
    <v>THE PROCTER &amp; GAMBLE COMPANY (XNYS:PG)</v>
    <v>3</v>
    <v>4</v>
    <v>Finance</v>
    <v>5</v>
    <v>147.22999999999999</v>
    <v>121.54</v>
    <v>0.42020000000000002</v>
    <v>-0.93</v>
    <v>-6.4080000000000005E-3</v>
    <v>USD</v>
    <v>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v>
    <v>101000</v>
    <v>New York Stock Exchange</v>
    <v>XNYS</v>
    <v>XNYS</v>
    <v>1 Procter and Gamble Plz, CINCINNATI, OH, 45202-3315 US</v>
    <v>145.19999999999999</v>
    <v>114</v>
    <v>Personal &amp; Household Products &amp; Services</v>
    <v>Stock</v>
    <v>44455.746349860936</v>
    <v>115</v>
    <v>142.83000000000001</v>
    <v>350138884040</v>
    <v>THE PROCTER &amp; GAMBLE COMPANY</v>
    <v>THE PROCTER &amp; GAMBLE COMPANY</v>
    <v>145.19999999999999</v>
    <v>26.413</v>
    <v>145.12</v>
    <v>144.19</v>
    <v>2428316000</v>
    <v>PG</v>
    <v>THE PROCTER &amp; GAMBLE COMPANY (XNYS:PG)</v>
    <v>2931934</v>
    <v>5857362</v>
    <v>1905</v>
  </rv>
  <rv s="4">
    <v>116</v>
  </rv>
  <rv s="0">
    <v>http://creativecommons.org/licenses/by-sa/3.0/</v>
    <v>CC-BY-SA-3.0</v>
  </rv>
  <rv s="0">
    <v>http://tr.wikipedia.org/wiki/The_Travelers_Companies</v>
    <v>Wikipedia</v>
  </rv>
  <rv s="1">
    <v>118</v>
    <v>119</v>
  </rv>
  <rv s="2">
    <v>6</v>
    <v>https://www.bing.com/th?id=AMMS_8fe72c47eb9577851e2dcfe51b3f70eb&amp;qlt=95</v>
    <v>120</v>
    <v>0</v>
    <v>https://www.bing.com/images/search?form=xlimg&amp;q=travelers+insurance</v>
    <v>Image of The Travelers Companies, Inc.</v>
  </rv>
  <rv s="0">
    <v>https://www.bing.com/financeapi/forcetrigger?t=a24j8m&amp;q=XNYS%3aTRV&amp;form=skydnc</v>
    <v>Learn more on Bing</v>
  </rv>
  <rv s="3">
    <v>en-US</v>
    <v>a24j8m</v>
    <v>268435456</v>
    <v>1</v>
    <v>Powered by Refinitiv</v>
    <v>0</v>
    <v>The Travelers Companies, Inc. (XNYS:TRV)</v>
    <v>3</v>
    <v>4</v>
    <v>Finance</v>
    <v>5</v>
    <v>163.29</v>
    <v>105.67</v>
    <v>0.76849999999999996</v>
    <v>-0.56000000000000005</v>
    <v>-3.5539999999999999E-3</v>
    <v>USD</v>
    <v>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v>
    <v>30600</v>
    <v>New York Stock Exchange</v>
    <v>XNYS</v>
    <v>XNYS</v>
    <v>385 WASHINGTON ST, SAINT PAUL, MN, 55102-1309 US</v>
    <v>157.97</v>
    <v>121</v>
    <v>Insurance</v>
    <v>Stock</v>
    <v>44455.74620704844</v>
    <v>122</v>
    <v>155.5</v>
    <v>39175375158</v>
    <v>The Travelers Companies, Inc.</v>
    <v>The Travelers Companies, Inc.</v>
    <v>157.655</v>
    <v>10.607100000000001</v>
    <v>157.58000000000001</v>
    <v>157.02000000000001</v>
    <v>249492900</v>
    <v>TRV</v>
    <v>The Travelers Companies, Inc. (XNYS:TRV)</v>
    <v>509515</v>
    <v>965068</v>
    <v>1853</v>
  </rv>
  <rv s="4">
    <v>123</v>
  </rv>
  <rv s="0">
    <v>https://www.bing.com/financeapi/forcetrigger?t=a24xlh&amp;q=XNYS%3aUNH&amp;form=skydnc</v>
    <v>Learn more on Bing</v>
  </rv>
  <rv s="5">
    <v>en-US</v>
    <v>a24xlh</v>
    <v>268435456</v>
    <v>1</v>
    <v>Powered by Refinitiv</v>
    <v>7</v>
    <v>UNITEDHEALTH GROUP INCORPORATED (XNYS:UNH)</v>
    <v>8</v>
    <v>9</v>
    <v>Finance</v>
    <v>5</v>
    <v>431.35500000000002</v>
    <v>289.64</v>
    <v>0.77249999999999996</v>
    <v>-0.53</v>
    <v>-1.2690000000000002E-3</v>
    <v>USD</v>
    <v>UnitedHealth Group Incorporated is a diversified health care company. The Company operates through four segments: UnitedHealthcare, OptumHealth, OptumInsight and OptumRx. It conducts its operations through two business platforms: health benefits operating under UnitedHealthcare and health services operating under Optum. UnitedHealthcare provides healthcare includes UnitedHealthcare Employer &amp; Individual, UnitedHealthcare Medicare &amp; Retirement, UnitedHealthcare Community &amp; State, and UnitedHealthcare Global businesses. Optum serves the healthcare marketplace, including payers, care providers, employers, governments, life sciences companies and consumers, through its OptumHealth, OptumInsight and OptumRx businesses. OptumHealth focuses on care delivery, care management, wellness and consumer engagement, and health financial services. OptumInsight offers data, analytics, research, consulting, technology and managed services solutions. OptumRx provides an array of pharmacy care services.</v>
    <v>330000</v>
    <v>New York Stock Exchange</v>
    <v>XNYS</v>
    <v>XNYS</v>
    <v>9900 Bren Rd E, HOPKINS, MN, 55343-9664 US</v>
    <v>423.4</v>
    <v>Healthcare Providers &amp; Services</v>
    <v>Stock</v>
    <v>44455.746400404685</v>
    <v>125</v>
    <v>415.04</v>
    <v>393187126626</v>
    <v>UNITEDHEALTH GROUP INCORPORATED</v>
    <v>UNITEDHEALTH GROUP INCORPORATED</v>
    <v>419.69</v>
    <v>27.573899999999998</v>
    <v>417.52</v>
    <v>416.99</v>
    <v>942917400</v>
    <v>UNH</v>
    <v>UNITEDHEALTH GROUP INCORPORATED (XNYS:UNH)</v>
    <v>1028529</v>
    <v>2423558</v>
    <v>2015</v>
  </rv>
  <rv s="4">
    <v>126</v>
  </rv>
  <rv s="0">
    <v>https://www.bing.com/financeapi/forcetrigger?t=a1qc1h&amp;q=XNYS%3aCRM&amp;form=skydnc</v>
    <v>Learn more on Bing</v>
  </rv>
  <rv s="5">
    <v>en-US</v>
    <v>a1qc1h</v>
    <v>268435456</v>
    <v>1</v>
    <v>Powered by Refinitiv</v>
    <v>7</v>
    <v>SALESFORCE.COM, INC. (XNYS:CRM)</v>
    <v>8</v>
    <v>9</v>
    <v>Finance</v>
    <v>5</v>
    <v>275.22000000000003</v>
    <v>201.51</v>
    <v>1.0809</v>
    <v>2.3612000000000002</v>
    <v>9.2179999999999988E-3</v>
    <v>USD</v>
    <v>Salesforce.com, Inc. focuses on customer relationship management (CRM) technology. The Company’s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v>
    <v>56606</v>
    <v>New York Stock Exchange</v>
    <v>XNYS</v>
    <v>XNYS</v>
    <v>415 Mission St Fl 3, SAN FRANCISCO, CA, 94105-2533 US</v>
    <v>258.64</v>
    <v>Software &amp; IT Services</v>
    <v>Stock</v>
    <v>44455.746421527343</v>
    <v>128</v>
    <v>255</v>
    <v>253092254800</v>
    <v>SALESFORCE.COM, INC.</v>
    <v>SALESFORCE.COM, INC.</v>
    <v>255.62</v>
    <v>101.6032</v>
    <v>256.16000000000003</v>
    <v>258.52120000000002</v>
    <v>979000000</v>
    <v>CRM</v>
    <v>SALESFORCE.COM, INC. (XNYS:CRM)</v>
    <v>2060971</v>
    <v>6243743</v>
    <v>1999</v>
  </rv>
  <rv s="4">
    <v>129</v>
  </rv>
  <rv s="0">
    <v>http://en.wikipedia.org/wiki/Verizon_Communications</v>
    <v>Wikipedia</v>
  </rv>
  <rv s="1">
    <v>0</v>
    <v>131</v>
  </rv>
  <rv s="2">
    <v>6</v>
    <v>https://www.bing.com/th?id=AMMS_efb83e572c5e412d09976efd475336f4&amp;qlt=95</v>
    <v>132</v>
    <v>0</v>
    <v>https://www.bing.com/images/search?form=xlimg&amp;q=verizon+communications</v>
    <v>Image of VERIZON COMMUNICATIONS INC.</v>
  </rv>
  <rv s="0">
    <v>https://www.bing.com/financeapi/forcetrigger?t=a25obh&amp;q=XNYS%3aVZ&amp;form=skydnc</v>
    <v>Learn more on Bing</v>
  </rv>
  <rv s="3">
    <v>en-US</v>
    <v>a25obh</v>
    <v>268435456</v>
    <v>1</v>
    <v>Powered by Refinitiv</v>
    <v>0</v>
    <v>VERIZON COMMUNICATIONS INC. (XNYS:VZ)</v>
    <v>3</v>
    <v>4</v>
    <v>Finance</v>
    <v>5</v>
    <v>61.95</v>
    <v>53.83</v>
    <v>0.45219999999999999</v>
    <v>-0.03</v>
    <v>-5.4980000000000003E-4</v>
    <v>USD</v>
    <v>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v>
    <v>135500</v>
    <v>New York Stock Exchange</v>
    <v>XNYS</v>
    <v>XNYS</v>
    <v>1095 Avenue of the Americas, NEW YORK, NY, 10036-6797 US</v>
    <v>54.79</v>
    <v>133</v>
    <v>Telecommunications Services</v>
    <v>Stock</v>
    <v>44455.746348633591</v>
    <v>134</v>
    <v>54.35</v>
    <v>225801926640</v>
    <v>VERIZON COMMUNICATIONS INC.</v>
    <v>VERIZON COMMUNICATIONS INC.</v>
    <v>54.56</v>
    <v>11.9655</v>
    <v>54.57</v>
    <v>54.54</v>
    <v>4140116000</v>
    <v>VZ</v>
    <v>VERIZON COMMUNICATIONS INC. (XNYS:VZ)</v>
    <v>7599279</v>
    <v>13877805</v>
    <v>1983</v>
  </rv>
  <rv s="4">
    <v>135</v>
  </rv>
  <rv s="0">
    <v>https://www.bing.com/financeapi/forcetrigger?t=a256cw&amp;q=XNYS%3aV&amp;form=skydnc</v>
    <v>Learn more on Bing</v>
  </rv>
  <rv s="5">
    <v>en-US</v>
    <v>a256cw</v>
    <v>268435456</v>
    <v>1</v>
    <v>Powered by Refinitiv</v>
    <v>7</v>
    <v>VISA INC. (XNYS:V)</v>
    <v>8</v>
    <v>9</v>
    <v>Finance</v>
    <v>5</v>
    <v>252.67</v>
    <v>179.23</v>
    <v>0.98409999999999997</v>
    <v>-0.02</v>
    <v>-8.9359999999999998E-5</v>
    <v>USD</v>
    <v>Visa Inc. (Visa) is a payments technology company that provides digital payments across more than 200 countries and territories. The Company connects consumers, merchants, financial institutions, businesses, strategic partners and government entities to electronic payments. The Company operates through payment services segment. The Company's transaction processing network, VisaNet, facilitates authorization, clearing and settlement of payment transactions and enables to provide its financial institution and merchant clients a range of products, platforms and value-added services. The Company is a retail electronic payment network based on payments volume, number of transactions and number of cards in circulation. Its products/services include transaction processing services, Visa-branded payment products, including credit, debit, prepaid and cash access programs for individual, business and government account holders.</v>
    <v>20500</v>
    <v>New York Stock Exchange</v>
    <v>XNYS</v>
    <v>XNYS</v>
    <v>900 Metro Center Blvd, FOSTER CITY, CA, 94404 US</v>
    <v>225.17</v>
    <v>Software &amp; IT Services</v>
    <v>Stock</v>
    <v>44455.746392187502</v>
    <v>137</v>
    <v>222.75</v>
    <v>475960376430</v>
    <v>VISA INC.</v>
    <v>VISA INC.</v>
    <v>224.07</v>
    <v>51.846299999999999</v>
    <v>223.81</v>
    <v>223.79</v>
    <v>2126817000</v>
    <v>V</v>
    <v>VISA INC. (XNYS:V)</v>
    <v>2990371</v>
    <v>7617875</v>
    <v>2007</v>
  </rv>
  <rv s="4">
    <v>138</v>
  </rv>
  <rv s="0">
    <v>http://fr.wikipedia.org/wiki/Walgreens_Boots_Alliance</v>
    <v>Wikipedia</v>
  </rv>
  <rv s="1">
    <v>0</v>
    <v>140</v>
  </rv>
  <rv s="2">
    <v>6</v>
    <v>https://www.bing.com/th?id=AMMS_630924b27a7bee16c7e62645c2108314&amp;qlt=95</v>
    <v>141</v>
    <v>0</v>
    <v>https://www.bing.com/images/search?form=xlimg&amp;q=walgreens+boots+alliance</v>
    <v>Image of WALGREENS BOOTS ALLIANCE, INC.</v>
  </rv>
  <rv s="0">
    <v>https://www.bing.com/financeapi/forcetrigger?t=a25pm7&amp;q=XNAS%3aWBA&amp;form=skydnc</v>
    <v>Learn more on Bing</v>
  </rv>
  <rv s="3">
    <v>en-US</v>
    <v>a25pm7</v>
    <v>268435456</v>
    <v>1</v>
    <v>Powered by Refinitiv</v>
    <v>0</v>
    <v>WALGREENS BOOTS ALLIANCE, INC. (XNAS:WBA)</v>
    <v>3</v>
    <v>4</v>
    <v>Finance</v>
    <v>5</v>
    <v>57.05</v>
    <v>33.36</v>
    <v>0.48230000000000001</v>
    <v>-0.43</v>
    <v>-8.5789999999999998E-3</v>
    <v>USD</v>
    <v>Walgreens Boots Alliance, Inc. is a holding company. The Company operates through three segments: Retail Pharmacy USA, Retail Pharmacy International and Pharmaceutical Wholesale. The Retail Pharmacy USA segment consists of the Walgreen Co. (Walgreens) business, which includes the operation of retail drugstores, care clinics and providing specialty pharmacy services. The Retail Pharmacy International segment consists primarily of the pharmacy-led health and beauty retail businesses and optical practices. The Pharmaceutical Wholesale segment consists of equity method investment in AmerisourceBergen. The Company's portfolio of retail and business brands includes Walgreens, Duane Reade, Boots, as well as global health and beauty product brands, including No7, NICE!, Soap &amp; Glory, Liz Earle, Finest Nutrition, Botanics, Well Beginnings, Sleek MakeUP and YourGoodSkin.</v>
    <v>223000</v>
    <v>Nasdaq Stock Market</v>
    <v>XNAS</v>
    <v>XNAS</v>
    <v>108 Wilmot Rd, DEERFIELD, IL, 60015-5145 US</v>
    <v>50.35</v>
    <v>142</v>
    <v>Food &amp; Drug Retailing</v>
    <v>Stock</v>
    <v>44455.746272650002</v>
    <v>143</v>
    <v>49.32</v>
    <v>42981218937</v>
    <v>WALGREENS BOOTS ALLIANCE, INC.</v>
    <v>WALGREENS BOOTS ALLIANCE, INC.</v>
    <v>50.11</v>
    <v>21.6372</v>
    <v>50.12</v>
    <v>49.69</v>
    <v>864987300</v>
    <v>WBA</v>
    <v>WALGREENS BOOTS ALLIANCE, INC. (XNAS:WBA)</v>
    <v>2736763</v>
    <v>4797166</v>
    <v>2014</v>
  </rv>
  <rv s="4">
    <v>144</v>
  </rv>
  <rv s="0">
    <v>http://en.wikipedia.org/wiki/Walmart</v>
    <v>Wikipedia</v>
  </rv>
  <rv s="1">
    <v>0</v>
    <v>146</v>
  </rv>
  <rv s="2">
    <v>6</v>
    <v>https://www.bing.com/th?id=AMMS_9a692ebc16293b3470f3b0d46a4a20f3&amp;qlt=95</v>
    <v>147</v>
    <v>0</v>
    <v>https://www.bing.com/images/search?form=xlimg&amp;q=walmart</v>
    <v>Image of WALMART INC.</v>
  </rv>
  <rv s="0">
    <v>https://www.bing.com/financeapi/forcetrigger?t=a25ya2&amp;q=XNYS%3aWMT&amp;form=skydnc</v>
    <v>Learn more on Bing</v>
  </rv>
  <rv s="3">
    <v>en-US</v>
    <v>a25ya2</v>
    <v>268435456</v>
    <v>1</v>
    <v>Powered by Refinitiv</v>
    <v>0</v>
    <v>WALMART INC. (XNYS:WMT)</v>
    <v>3</v>
    <v>4</v>
    <v>Finance</v>
    <v>5</v>
    <v>153.65969999999999</v>
    <v>126.28</v>
    <v>0.48409999999999997</v>
    <v>0.12</v>
    <v>8.3020000000000001E-4</v>
    <v>USD</v>
    <v>Walmart Inc is engaged in the operation of retail, wholesale and other units, as well as eCommerce, located throughout the United States, Africa, Canada, Central America, Chile, China, India and Mexico. The Company offers an assortment of merchandise and services at everyday low prices (EDLP). The Company operates through three segments: Walmart U.S., Walmart International and Sam's Club. The Walmart U.S. segment includes the Company's mass merchant concept in the United States. The Walmart International segment consists of the Company's operations outside of the United States. The Sam's Club segment includes the warehouse membership clubs in the United States. The Company operates approximately 10,500 stores, clubs and eCommerce Websites under 48 banners in 24 countries.</v>
    <v>2300000</v>
    <v>New York Stock Exchange</v>
    <v>XNYS</v>
    <v>XNYS</v>
    <v>702 SW 8th St, BENTONVILLE, AR, 72716-6209 US</v>
    <v>145.22</v>
    <v>148</v>
    <v>Food &amp; Drug Retailing</v>
    <v>Stock</v>
    <v>44455.746330485934</v>
    <v>149</v>
    <v>143.69200000000001</v>
    <v>403412005659</v>
    <v>WALMART INC.</v>
    <v>WALMART INC.</v>
    <v>144.46</v>
    <v>40.733899999999998</v>
    <v>144.55000000000001</v>
    <v>144.66999999999999</v>
    <v>2788498000</v>
    <v>WMT</v>
    <v>WALMART INC. (XNYS:WMT)</v>
    <v>2508928</v>
    <v>7733307</v>
    <v>1969</v>
  </rv>
  <rv s="4">
    <v>150</v>
  </rv>
  <rv s="0">
    <v>http://en.wikipedia.org/wiki/The_Walt_Disney_Company</v>
    <v>Wikipedia</v>
  </rv>
  <rv s="1">
    <v>0</v>
    <v>152</v>
  </rv>
  <rv s="2">
    <v>6</v>
    <v>https://www.bing.com/th?id=AMMS_0aa288ba528f6f45e3de87d97e250136&amp;qlt=95</v>
    <v>153</v>
    <v>0</v>
    <v>https://www.bing.com/images/search?form=xlimg&amp;q=the+walt+disney+company</v>
    <v>Image of THE WALT DISNEY COMPANY</v>
  </rv>
  <rv s="0">
    <v>https://www.bing.com/financeapi/forcetrigger?t=a1r2z2&amp;q=XNYS%3aDIS&amp;form=skydnc</v>
    <v>Learn more on Bing</v>
  </rv>
  <rv s="3">
    <v>en-US</v>
    <v>a1r2z2</v>
    <v>268435456</v>
    <v>1</v>
    <v>Powered by Refinitiv</v>
    <v>0</v>
    <v>THE WALT DISNEY COMPANY (XNYS:DIS)</v>
    <v>3</v>
    <v>4</v>
    <v>Finance</v>
    <v>5</v>
    <v>203.02</v>
    <v>117.23</v>
    <v>1.1918</v>
    <v>-1.585</v>
    <v>-8.5950000000000002E-3</v>
    <v>USD</v>
    <v>The Walt Disney Company is a worldwide entertainment company. The Company operates in four business segments: Media Networks, Parks, Experiences and Products, Studio Entertainment, and Direct-To-Consumer (DTC) and International. The media networks segment includes cable and broadcast television networks, television production and distribution operations, domestic television stations, and radio networks and stations. The Company's Parks and Experiences include theme parks, resorts, Disney Cruise Line and Disney Vacation Club. The studio entertainment operations include motion picture production and distribution, development, production and licensing of live entertainment events, and music production and distribution. Its DTC businesses consist of subscription services that provide video streaming of general entertainment, family and sports programming. The Company's International Channels produce local programs or acquire rights from its domestic studios and from third parties.</v>
    <v>203000</v>
    <v>New York Stock Exchange</v>
    <v>XNYS</v>
    <v>XNYS</v>
    <v>500 S Buena Vista St, BURBANK, CA, 91521-0001 US</v>
    <v>184.64</v>
    <v>154</v>
    <v>Media &amp; Publishing</v>
    <v>Stock</v>
    <v>44455.746406365623</v>
    <v>155</v>
    <v>182.12</v>
    <v>332216243775</v>
    <v>THE WALT DISNEY COMPANY</v>
    <v>THE WALT DISNEY COMPANY</v>
    <v>184.1</v>
    <v>294.18049999999999</v>
    <v>184.41</v>
    <v>182.82499999999999</v>
    <v>1817127000</v>
    <v>DIS</v>
    <v>THE WALT DISNEY COMPANY (XNYS:DIS)</v>
    <v>2805506</v>
    <v>8252661</v>
    <v>2018</v>
  </rv>
  <rv s="4">
    <v>156</v>
  </rv>
  <rv s="0">
    <v>http://en.wikipedia.org/wiki/Dow_Chemical_Company</v>
    <v>Wikipedia</v>
  </rv>
  <rv s="1">
    <v>0</v>
    <v>158</v>
  </rv>
  <rv s="2">
    <v>6</v>
    <v>https://www.bing.com/th?id=AMMS_5abe15122075d0bd146631d4e21c0a1e&amp;qlt=95</v>
    <v>159</v>
    <v>0</v>
    <v>https://www.bing.com/images/search?form=xlimg&amp;q=dow+chemical+company</v>
    <v>Image of Dow Inc.</v>
  </rv>
  <rv s="0">
    <v>https://www.bing.com/financeapi/forcetrigger?t=bpifbh&amp;q=XNYS%3aDOW&amp;form=skydnc</v>
    <v>Learn more on Bing</v>
  </rv>
  <rv s="6">
    <v>en-US</v>
    <v>bpifbh</v>
    <v>268435456</v>
    <v>1</v>
    <v>Powered by Refinitiv</v>
    <v>11</v>
    <v>Dow Inc. (XNYS:DOW)</v>
    <v>3</v>
    <v>12</v>
    <v>Finance</v>
    <v>5</v>
    <v>71.38</v>
    <v>44.33</v>
    <v>-0.54</v>
    <v>-8.9700000000000005E-3</v>
    <v>USD</v>
    <v>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v>
    <v>35700</v>
    <v>New York Stock Exchange</v>
    <v>XNYS</v>
    <v>XNYS</v>
    <v>2211 H H Dow Way, MIDLAND, MI, 48642-4815 US</v>
    <v>60.32</v>
    <v>160</v>
    <v>Chemicals</v>
    <v>Stock</v>
    <v>44455.746356284377</v>
    <v>161</v>
    <v>59.07</v>
    <v>44492745588</v>
    <v>Dow Inc.</v>
    <v>Dow Inc.</v>
    <v>60.145000000000003</v>
    <v>11.0745</v>
    <v>60.2</v>
    <v>59.66</v>
    <v>745771800</v>
    <v>DOW</v>
    <v>Dow Inc. (XNYS:DOW)</v>
    <v>2632547</v>
    <v>3892580</v>
    <v>2018</v>
  </rv>
  <rv s="4">
    <v>162</v>
  </rv>
</rvData>
</file>

<file path=xl/richData/rdrichvaluestructure.xml><?xml version="1.0" encoding="utf-8"?>
<rvStructures xmlns="http://schemas.microsoft.com/office/spreadsheetml/2017/richdata" count="7">
  <s t="_hyperlink">
    <k n="Address" t="s"/>
    <k n="Text" t="s"/>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3">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LearnMoreOnLink</v>
      <v t="s">Image</v>
      <v t="s">ExchangeID</v>
      <v t="s">%ProviderInfo</v>
    </a>
  </spbArrays>
  <spbData count="13">
    <spb s="0">
      <v>0</v>
      <v>Name</v>
      <v>LearnMoreOnLink</v>
    </spb>
    <spb s="1">
      <v>0</v>
      <v>0</v>
    </spb>
    <spb s="2">
      <v>0</v>
      <v>0</v>
      <v>0</v>
    </spb>
    <spb s="3">
      <v>1</v>
      <v>2</v>
      <v>2</v>
      <v>2</v>
      <v>2</v>
    </spb>
    <spb s="4">
      <v>1</v>
      <v>2</v>
      <v>2</v>
      <v>1</v>
      <v>3</v>
      <v>1</v>
      <v>4</v>
      <v>1</v>
      <v>1</v>
      <v>5</v>
      <v>5</v>
      <v>6</v>
      <v>7</v>
      <v>1</v>
      <v>1</v>
      <v>1</v>
      <v>5</v>
      <v>8</v>
      <v>9</v>
      <v>10</v>
      <v>5</v>
    </spb>
    <spb s="5">
      <v>Real-Time Nasdaq Last Sale</v>
      <v>from previous close</v>
      <v>from previous close</v>
      <v>Source: Nasdaq Last Sale</v>
      <v>GMT</v>
    </spb>
    <spb s="6">
      <v>Powered by Refinitiv</v>
    </spb>
    <spb s="0">
      <v>1</v>
      <v>Name</v>
      <v>LearnMoreOnLink</v>
    </spb>
    <spb s="7">
      <v>2</v>
      <v>2</v>
      <v>2</v>
      <v>2</v>
    </spb>
    <spb s="8">
      <v>1</v>
      <v>2</v>
      <v>2</v>
      <v>1</v>
      <v>3</v>
      <v>1</v>
      <v>1</v>
      <v>1</v>
      <v>5</v>
      <v>5</v>
      <v>6</v>
      <v>7</v>
      <v>1</v>
      <v>1</v>
      <v>1</v>
      <v>5</v>
      <v>8</v>
      <v>9</v>
      <v>10</v>
      <v>5</v>
    </spb>
    <spb s="5">
      <v>Delayed 15 minutes</v>
      <v>from previous close</v>
      <v>from previous close</v>
      <v>Source: Nasdaq</v>
      <v>GMT</v>
    </spb>
    <spb s="0">
      <v>2</v>
      <v>Name</v>
      <v>LearnMoreOnLink</v>
    </spb>
    <spb s="9">
      <v>1</v>
      <v>2</v>
      <v>1</v>
      <v>3</v>
      <v>1</v>
      <v>4</v>
      <v>1</v>
      <v>1</v>
      <v>5</v>
      <v>5</v>
      <v>6</v>
      <v>7</v>
      <v>1</v>
      <v>1</v>
      <v>1</v>
      <v>5</v>
      <v>8</v>
      <v>9</v>
      <v>10</v>
      <v>5</v>
    </spb>
  </spbData>
</supportingPropertyBags>
</file>

<file path=xl/richData/rdsupportingpropertybagstructure.xml><?xml version="1.0" encoding="utf-8"?>
<spbStructures xmlns="http://schemas.microsoft.com/office/spreadsheetml/2017/richdata2" count="10">
  <s>
    <k n="^Order" t="spba"/>
    <k n="TitleProperty" t="s"/>
    <k n="SubTitleProperty" t="s"/>
  </s>
  <s>
    <k n="ShowInDotNotation" t="b"/>
    <k n="ShowInAutoComplete" t="b"/>
  </s>
  <s>
    <k n="ShowInCardView" t="b"/>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name" t="s"/>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Low" t="i"/>
    <k n="P/E"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165" formatCode="_([$$-409]* #,##0.00_);_([$$-409]* \(#,##0.00\);_([$$-409]* &quot;-&quot;??_);_(@_)"/>
    </x:dxf>
    <x:dxf>
      <x:numFmt numFmtId="4" formatCode="#,##0.00"/>
    </x:dxf>
    <x:dxf>
      <x:numFmt numFmtId="3" formatCode="#,##0"/>
    </x:dxf>
    <x:dxf>
      <x:numFmt numFmtId="14" formatCode="0.00%"/>
    </x:dxf>
    <x:dxf>
      <x:numFmt numFmtId="164" formatCode="_([$$-409]* #,##0_);_([$$-409]* \(#,##0\);_([$$-409]* &quot;-&quot;_);_(@_)"/>
    </x:dxf>
    <x:dxf>
      <x:numFmt numFmtId="27" formatCode="m/d/yyyy\ h:mm"/>
    </x:dxf>
    <x:dxf>
      <x:numFmt numFmtId="1" formatCode="0"/>
    </x:dxf>
    <x:dxf>
      <x:numFmt numFmtId="2" formatCode="0.00"/>
    </x:dxf>
  </dxfs>
  <richProperties>
    <rPr n="IsTitleField" t="b"/>
    <rPr n="IsHeroField" t="b"/>
  </richProperties>
  <richStyles>
    <rSty dxfid="0"/>
    <rSty dxfid="1"/>
    <rSty>
      <rpv i="0">1</rpv>
    </rSty>
    <rSty>
      <rpv i="1">1</rpv>
    </rSty>
    <rSty dxfid="2"/>
    <rSty dxfid="3"/>
    <rSty dxfid="4"/>
    <rSty dxfid="5"/>
    <rSty dxfid="6"/>
    <rSty dxfid="7"/>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7433D7-BE7B-45E6-9117-E7634D5917FA}" name="Table1" displayName="Table1" ref="A1:P31" totalsRowShown="0">
  <autoFilter ref="A1:P31" xr:uid="{CE7433D7-BE7B-45E6-9117-E7634D5917FA}"/>
  <tableColumns count="16">
    <tableColumn id="1" xr3:uid="{BB356554-830A-483E-B0A7-3CBC646EEA12}" name="Stock"/>
    <tableColumn id="2" xr3:uid="{89A5FB4E-050E-4019-804A-33451345B105}" name="Name">
      <calculatedColumnFormula array="1">_FV(A2,"Name")</calculatedColumnFormula>
    </tableColumn>
    <tableColumn id="3" xr3:uid="{D6EFC04D-4CEA-46B8-B8E0-0572AEAC3A06}" name="Price" dataDxfId="12">
      <calculatedColumnFormula array="1">_FV(A2,"Price")</calculatedColumnFormula>
    </tableColumn>
    <tableColumn id="4" xr3:uid="{13067254-15C8-4663-97E7-F1D69CC13D35}" name="Change" dataDxfId="11">
      <calculatedColumnFormula array="1">_FV(Table1[[#This Row],[Stock]],"Change")</calculatedColumnFormula>
    </tableColumn>
    <tableColumn id="5" xr3:uid="{E6C1C9D5-340A-4282-B4D9-23DDA51E7907}" name="Changep" dataDxfId="10">
      <calculatedColumnFormula array="1">_FV(Table1[[#This Row],[Stock]],"Change (%)",TRUE)</calculatedColumnFormula>
    </tableColumn>
    <tableColumn id="6" xr3:uid="{B9A8AA1C-8894-400C-B004-F379FEC87011}" name="Wlow" dataDxfId="9">
      <calculatedColumnFormula array="1">_FV(Table1[[#This Row],[Stock]],"52 week low",TRUE)</calculatedColumnFormula>
    </tableColumn>
    <tableColumn id="7" xr3:uid="{07A3B178-8951-4B01-A511-5DC278BCF945}" name="Whigh" dataDxfId="8">
      <calculatedColumnFormula array="1">_FV(Table1[[#This Row],[Stock]],"52 week high",TRUE)</calculatedColumnFormula>
    </tableColumn>
    <tableColumn id="10" xr3:uid="{D2CF3127-4565-481E-89F8-B70B54C84560}" name="Symbol" dataDxfId="7">
      <calculatedColumnFormula array="1">_FV(Table1[[#This Row],[Stock]],"Ticker symbol",TRUE)</calculatedColumnFormula>
    </tableColumn>
    <tableColumn id="11" xr3:uid="{3BE81835-BEBA-4CE0-A808-0A64C1DD9925}" name="Volume" dataDxfId="6">
      <calculatedColumnFormula array="1">_FV(Table1[[#This Row],[Stock]],"Volume")</calculatedColumnFormula>
    </tableColumn>
    <tableColumn id="12" xr3:uid="{D1898500-C40C-4626-8C00-32599E3FA1B7}" name="PE" dataDxfId="5">
      <calculatedColumnFormula array="1">_FV(Table1[[#This Row],[Stock]],"P/E",TRUE)</calculatedColumnFormula>
    </tableColumn>
    <tableColumn id="13" xr3:uid="{60806A6D-13DF-4F4C-98B3-B239E71B526C}" name="LTT" dataDxfId="4">
      <calculatedColumnFormula array="1">_FV(Table1[[#This Row],[Stock]],"Last trade time",TRUE)</calculatedColumnFormula>
    </tableColumn>
    <tableColumn id="16" xr3:uid="{F039C147-5D88-40B6-940D-90029B6AA5FA}" name="Industry">
      <calculatedColumnFormula array="1">_FV(Table1[[#This Row],[Stock]],"Industry")</calculatedColumnFormula>
    </tableColumn>
    <tableColumn id="8" xr3:uid="{4F21A59E-CB5D-4606-B966-CF3EC3AB5301}" name="Low" dataDxfId="3">
      <calculatedColumnFormula array="1">_FV(Table1[[#This Row],[Stock]],"Low")</calculatedColumnFormula>
    </tableColumn>
    <tableColumn id="9" xr3:uid="{9A0CDB4E-8018-45D5-98CF-1E0CC243FF20}" name="High" dataDxfId="2">
      <calculatedColumnFormula array="1">_FV(Table1[[#This Row],[Stock]],"High")</calculatedColumnFormula>
    </tableColumn>
    <tableColumn id="14" xr3:uid="{2CFDE836-12F9-4624-9BEA-89F462DEC7C1}" name="Op" dataDxfId="1">
      <calculatedColumnFormula array="1">_FV(Table1[[#This Row],[Stock]],"Open")</calculatedColumnFormula>
    </tableColumn>
    <tableColumn id="15" xr3:uid="{A408E5BA-EE7D-4B9B-8D30-8D727767CDF4}" name="Cl" dataDxfId="0">
      <calculatedColumnFormula array="1">_FV(Table1[[#This Row],[Stock]],"Previous close",TRUE)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A2498-8791-4096-9311-F7D6704B4DF3}">
  <sheetPr codeName="Sheet1"/>
  <dimension ref="A1:P31"/>
  <sheetViews>
    <sheetView tabSelected="1" workbookViewId="0">
      <selection activeCell="S19" sqref="S19"/>
    </sheetView>
  </sheetViews>
  <sheetFormatPr defaultRowHeight="14.4" x14ac:dyDescent="0.3"/>
  <cols>
    <col min="1" max="1" width="28.33203125" customWidth="1"/>
    <col min="2" max="2" width="22.33203125" customWidth="1"/>
    <col min="3" max="3" width="15.6640625" style="1" customWidth="1"/>
    <col min="4" max="4" width="17.21875" style="4" customWidth="1"/>
    <col min="5" max="5" width="12.109375" customWidth="1"/>
    <col min="6" max="7" width="8.88671875" style="4"/>
    <col min="8" max="8" width="14.21875" customWidth="1"/>
    <col min="9" max="9" width="18.5546875" style="1" customWidth="1"/>
    <col min="10" max="10" width="8.88671875" style="4"/>
    <col min="11" max="11" width="23.88671875" style="5" customWidth="1"/>
    <col min="12" max="12" width="37.21875" customWidth="1"/>
    <col min="13" max="16" width="8.88671875" style="4"/>
  </cols>
  <sheetData>
    <row r="1" spans="1:16" x14ac:dyDescent="0.3">
      <c r="A1" t="s">
        <v>2</v>
      </c>
      <c r="B1" t="s">
        <v>0</v>
      </c>
      <c r="C1" s="1" t="s">
        <v>1</v>
      </c>
      <c r="D1" s="4" t="s">
        <v>3</v>
      </c>
      <c r="E1" t="s">
        <v>10</v>
      </c>
      <c r="F1" s="4" t="s">
        <v>12</v>
      </c>
      <c r="G1" s="4" t="s">
        <v>13</v>
      </c>
      <c r="H1" t="s">
        <v>8</v>
      </c>
      <c r="I1" s="1" t="s">
        <v>5</v>
      </c>
      <c r="J1" s="4" t="s">
        <v>6</v>
      </c>
      <c r="K1" s="5" t="s">
        <v>11</v>
      </c>
      <c r="L1" t="s">
        <v>9</v>
      </c>
      <c r="M1" s="4" t="s">
        <v>4</v>
      </c>
      <c r="N1" s="4" t="s">
        <v>7</v>
      </c>
      <c r="O1" s="4" t="s">
        <v>14</v>
      </c>
      <c r="P1" s="4" t="s">
        <v>15</v>
      </c>
    </row>
    <row r="2" spans="1:16" x14ac:dyDescent="0.3">
      <c r="A2" t="e" vm="1">
        <v>#VALUE!</v>
      </c>
      <c r="B2" t="str" cm="1">
        <f t="array" ref="B2">_FV(A2,"Name")</f>
        <v>AMERICAN EXPRESS COMPANY</v>
      </c>
      <c r="C2" s="1" cm="1">
        <f t="array" ref="C2">_FV(A2,"Price")</f>
        <v>162.78</v>
      </c>
      <c r="D2" s="4" cm="1">
        <f t="array" ref="D2">_FV(Table1[[#This Row],[Stock]],"Change")</f>
        <v>1.44</v>
      </c>
      <c r="E2" s="3" cm="1">
        <f t="array" ref="E2">_FV(Table1[[#This Row],[Stock]],"Change (%)",TRUE)</f>
        <v>8.9249999999999989E-3</v>
      </c>
      <c r="F2" s="4" cm="1">
        <f t="array" ref="F2">_FV(Table1[[#This Row],[Stock]],"52 week low",TRUE)</f>
        <v>89.11</v>
      </c>
      <c r="G2" s="4" cm="1">
        <f t="array" ref="G2">_FV(Table1[[#This Row],[Stock]],"52 week high",TRUE)</f>
        <v>179.67</v>
      </c>
      <c r="H2" s="2" t="str" cm="1">
        <f t="array" ref="H2">_FV(Table1[[#This Row],[Stock]],"Ticker symbol",TRUE)</f>
        <v>AXP</v>
      </c>
      <c r="I2" s="1" cm="1">
        <f t="array" ref="I2">_FV(Table1[[#This Row],[Stock]],"Volume")</f>
        <v>1452562</v>
      </c>
      <c r="J2" s="4" cm="1">
        <f t="array" ref="J2">_FV(Table1[[#This Row],[Stock]],"P/E",TRUE)</f>
        <v>18.754100000000001</v>
      </c>
      <c r="K2" s="5" cm="1">
        <f t="array" ref="K2">_FV(Table1[[#This Row],[Stock]],"Last trade time",TRUE)</f>
        <v>44455.746335138283</v>
      </c>
      <c r="L2" t="str" cm="1">
        <f t="array" ref="L2">_FV(Table1[[#This Row],[Stock]],"Industry")</f>
        <v>Banking Services</v>
      </c>
      <c r="M2" s="4" cm="1">
        <f t="array" ref="M2">_FV(Table1[[#This Row],[Stock]],"Low")</f>
        <v>162.19999999999999</v>
      </c>
      <c r="N2" s="4" cm="1">
        <f t="array" ref="N2">_FV(Table1[[#This Row],[Stock]],"High")</f>
        <v>164.43</v>
      </c>
      <c r="O2" s="4" cm="1">
        <f t="array" ref="O2">_FV(Table1[[#This Row],[Stock]],"Open")</f>
        <v>163.33000000000001</v>
      </c>
      <c r="P2" s="4" cm="1">
        <f t="array" ref="P2">_FV(Table1[[#This Row],[Stock]],"Previous close",TRUE)</f>
        <v>161.34</v>
      </c>
    </row>
    <row r="3" spans="1:16" x14ac:dyDescent="0.3">
      <c r="A3" t="e" vm="2">
        <v>#VALUE!</v>
      </c>
      <c r="B3" t="str" cm="1">
        <f t="array" ref="B3">_FV(A3,"Name")</f>
        <v>AMGEN INC.</v>
      </c>
      <c r="C3" s="1" cm="1">
        <f t="array" ref="C3">_FV(A3,"Price")</f>
        <v>216.755</v>
      </c>
      <c r="D3" s="4" cm="1">
        <f t="array" ref="D3">_FV(Table1[[#This Row],[Stock]],"Change")</f>
        <v>-1.375</v>
      </c>
      <c r="E3" s="3" cm="1">
        <f t="array" ref="E3">_FV(Table1[[#This Row],[Stock]],"Change (%)",TRUE)</f>
        <v>-6.3039999999999997E-3</v>
      </c>
      <c r="F3" s="4" cm="1">
        <f t="array" ref="F3">_FV(Table1[[#This Row],[Stock]],"52 week low",TRUE)</f>
        <v>210.28</v>
      </c>
      <c r="G3" s="4" cm="1">
        <f t="array" ref="G3">_FV(Table1[[#This Row],[Stock]],"52 week high",TRUE)</f>
        <v>276.69</v>
      </c>
      <c r="H3" s="2" t="str" cm="1">
        <f t="array" ref="H3">_FV(Table1[[#This Row],[Stock]],"Ticker symbol",TRUE)</f>
        <v>AMGN</v>
      </c>
      <c r="I3" s="1" cm="1">
        <f t="array" ref="I3">_FV(Table1[[#This Row],[Stock]],"Volume")</f>
        <v>1154495</v>
      </c>
      <c r="J3" s="4" cm="1">
        <f t="array" ref="J3">_FV(Table1[[#This Row],[Stock]],"P/E",TRUE)</f>
        <v>22.1784</v>
      </c>
      <c r="K3" s="5" cm="1">
        <f t="array" ref="K3">_FV(Table1[[#This Row],[Stock]],"Last trade time",TRUE)</f>
        <v>44455.746330543749</v>
      </c>
      <c r="L3" t="str" cm="1">
        <f t="array" ref="L3">_FV(Table1[[#This Row],[Stock]],"Industry")</f>
        <v>Pharmaceuticals</v>
      </c>
      <c r="M3" s="4" cm="1">
        <f t="array" ref="M3">_FV(Table1[[#This Row],[Stock]],"Low")</f>
        <v>214</v>
      </c>
      <c r="N3" s="4" cm="1">
        <f t="array" ref="N3">_FV(Table1[[#This Row],[Stock]],"High")</f>
        <v>218.6</v>
      </c>
      <c r="O3" s="4" cm="1">
        <f t="array" ref="O3">_FV(Table1[[#This Row],[Stock]],"Open")</f>
        <v>218.02</v>
      </c>
      <c r="P3" s="4" cm="1">
        <f t="array" ref="P3">_FV(Table1[[#This Row],[Stock]],"Previous close",TRUE)</f>
        <v>218.13</v>
      </c>
    </row>
    <row r="4" spans="1:16" x14ac:dyDescent="0.3">
      <c r="A4" t="e" vm="3">
        <v>#VALUE!</v>
      </c>
      <c r="B4" t="str" cm="1">
        <f t="array" ref="B4">_FV(A4,"Name")</f>
        <v>APPLE INC.</v>
      </c>
      <c r="C4" s="1" cm="1">
        <f t="array" ref="C4">_FV(A4,"Price")</f>
        <v>148.1643</v>
      </c>
      <c r="D4" s="4" cm="1">
        <f t="array" ref="D4">_FV(Table1[[#This Row],[Stock]],"Change")</f>
        <v>-0.86570000000000003</v>
      </c>
      <c r="E4" s="3" cm="1">
        <f t="array" ref="E4">_FV(Table1[[#This Row],[Stock]],"Change (%)",TRUE)</f>
        <v>-5.8089999999999999E-3</v>
      </c>
      <c r="F4" s="4" cm="1">
        <f t="array" ref="F4">_FV(Table1[[#This Row],[Stock]],"52 week low",TRUE)</f>
        <v>103.1</v>
      </c>
      <c r="G4" s="4" cm="1">
        <f t="array" ref="G4">_FV(Table1[[#This Row],[Stock]],"52 week high",TRUE)</f>
        <v>157.26</v>
      </c>
      <c r="H4" s="2" t="str" cm="1">
        <f t="array" ref="H4">_FV(Table1[[#This Row],[Stock]],"Ticker symbol",TRUE)</f>
        <v>AAPL</v>
      </c>
      <c r="I4" s="1" cm="1">
        <f t="array" ref="I4">_FV(Table1[[#This Row],[Stock]],"Volume")</f>
        <v>41634363</v>
      </c>
      <c r="J4" s="4" cm="1">
        <f t="array" ref="J4">_FV(Table1[[#This Row],[Stock]],"P/E",TRUE)</f>
        <v>29.186499999999999</v>
      </c>
      <c r="K4" s="5" cm="1">
        <f t="array" ref="K4">_FV(Table1[[#This Row],[Stock]],"Last trade time",TRUE)</f>
        <v>44455.746323332809</v>
      </c>
      <c r="L4" t="str" cm="1">
        <f t="array" ref="L4">_FV(Table1[[#This Row],[Stock]],"Industry")</f>
        <v>Computers, Phones &amp; Household Electronics</v>
      </c>
      <c r="M4" s="4" cm="1">
        <f t="array" ref="M4">_FV(Table1[[#This Row],[Stock]],"Low")</f>
        <v>147.221</v>
      </c>
      <c r="N4" s="4" cm="1">
        <f t="array" ref="N4">_FV(Table1[[#This Row],[Stock]],"High")</f>
        <v>148.9684</v>
      </c>
      <c r="O4" s="4" cm="1">
        <f t="array" ref="O4">_FV(Table1[[#This Row],[Stock]],"Open")</f>
        <v>148.41999999999999</v>
      </c>
      <c r="P4" s="4" cm="1">
        <f t="array" ref="P4">_FV(Table1[[#This Row],[Stock]],"Previous close",TRUE)</f>
        <v>149.03</v>
      </c>
    </row>
    <row r="5" spans="1:16" x14ac:dyDescent="0.3">
      <c r="A5" t="e" vm="4">
        <v>#VALUE!</v>
      </c>
      <c r="B5" t="str" cm="1">
        <f t="array" ref="B5">_FV(A5,"Name")</f>
        <v>THE BOEING COMPANY</v>
      </c>
      <c r="C5" s="1" cm="1">
        <f t="array" ref="C5">_FV(A5,"Price")</f>
        <v>214.09</v>
      </c>
      <c r="D5" s="4" cm="1">
        <f t="array" ref="D5">_FV(Table1[[#This Row],[Stock]],"Change")</f>
        <v>-0.13</v>
      </c>
      <c r="E5" s="3" cm="1">
        <f t="array" ref="E5">_FV(Table1[[#This Row],[Stock]],"Change (%)",TRUE)</f>
        <v>-6.0690000000000006E-4</v>
      </c>
      <c r="F5" s="4" cm="1">
        <f t="array" ref="F5">_FV(Table1[[#This Row],[Stock]],"52 week low",TRUE)</f>
        <v>141.58000000000001</v>
      </c>
      <c r="G5" s="4" cm="1">
        <f t="array" ref="G5">_FV(Table1[[#This Row],[Stock]],"52 week high",TRUE)</f>
        <v>278.56709999999998</v>
      </c>
      <c r="H5" s="2" t="str" cm="1">
        <f t="array" ref="H5">_FV(Table1[[#This Row],[Stock]],"Ticker symbol",TRUE)</f>
        <v>BA</v>
      </c>
      <c r="I5" s="1" cm="1">
        <f t="array" ref="I5">_FV(Table1[[#This Row],[Stock]],"Volume")</f>
        <v>3971698</v>
      </c>
      <c r="J5" s="4" cm="1">
        <f t="array" ref="J5">_FV(Table1[[#This Row],[Stock]],"P/E",TRUE)</f>
        <v>0</v>
      </c>
      <c r="K5" s="5" cm="1">
        <f t="array" ref="K5">_FV(Table1[[#This Row],[Stock]],"Last trade time",TRUE)</f>
        <v>44455.746377950782</v>
      </c>
      <c r="L5" t="str" cm="1">
        <f t="array" ref="L5">_FV(Table1[[#This Row],[Stock]],"Industry")</f>
        <v>Aerospace &amp; Defense</v>
      </c>
      <c r="M5" s="4" cm="1">
        <f t="array" ref="M5">_FV(Table1[[#This Row],[Stock]],"Low")</f>
        <v>213.37739999999999</v>
      </c>
      <c r="N5" s="4" cm="1">
        <f t="array" ref="N5">_FV(Table1[[#This Row],[Stock]],"High")</f>
        <v>216.3</v>
      </c>
      <c r="O5" s="4" cm="1">
        <f t="array" ref="O5">_FV(Table1[[#This Row],[Stock]],"Open")</f>
        <v>214.39</v>
      </c>
      <c r="P5" s="4" cm="1">
        <f t="array" ref="P5">_FV(Table1[[#This Row],[Stock]],"Previous close",TRUE)</f>
        <v>214.22</v>
      </c>
    </row>
    <row r="6" spans="1:16" x14ac:dyDescent="0.3">
      <c r="A6" t="e" vm="5">
        <v>#VALUE!</v>
      </c>
      <c r="B6" t="str" cm="1">
        <f t="array" ref="B6">_FV(A6,"Name")</f>
        <v>CATERPILLAR INC.</v>
      </c>
      <c r="C6" s="1" cm="1">
        <f t="array" ref="C6">_FV(A6,"Price")</f>
        <v>203.95500000000001</v>
      </c>
      <c r="D6" s="4" cm="1">
        <f t="array" ref="D6">_FV(Table1[[#This Row],[Stock]],"Change")</f>
        <v>-1.7749999999999999</v>
      </c>
      <c r="E6" s="3" cm="1">
        <f t="array" ref="E6">_FV(Table1[[#This Row],[Stock]],"Change (%)",TRUE)</f>
        <v>-8.6280000000000003E-3</v>
      </c>
      <c r="F6" s="4" cm="1">
        <f t="array" ref="F6">_FV(Table1[[#This Row],[Stock]],"52 week low",TRUE)</f>
        <v>142.72999999999999</v>
      </c>
      <c r="G6" s="4" cm="1">
        <f t="array" ref="G6">_FV(Table1[[#This Row],[Stock]],"52 week high",TRUE)</f>
        <v>246.69</v>
      </c>
      <c r="H6" s="2" t="str" cm="1">
        <f t="array" ref="H6">_FV(Table1[[#This Row],[Stock]],"Ticker symbol",TRUE)</f>
        <v>CAT</v>
      </c>
      <c r="I6" s="1" cm="1">
        <f t="array" ref="I6">_FV(Table1[[#This Row],[Stock]],"Volume")</f>
        <v>1468634</v>
      </c>
      <c r="J6" s="4" cm="1">
        <f t="array" ref="J6">_FV(Table1[[#This Row],[Stock]],"P/E",TRUE)</f>
        <v>26.284500000000001</v>
      </c>
      <c r="K6" s="5" cm="1">
        <f t="array" ref="K6">_FV(Table1[[#This Row],[Stock]],"Last trade time",TRUE)</f>
        <v>44455.746305346875</v>
      </c>
      <c r="L6" t="str" cm="1">
        <f t="array" ref="L6">_FV(Table1[[#This Row],[Stock]],"Industry")</f>
        <v>Machinery, Equipment &amp; Components</v>
      </c>
      <c r="M6" s="4" cm="1">
        <f t="array" ref="M6">_FV(Table1[[#This Row],[Stock]],"Low")</f>
        <v>202.85</v>
      </c>
      <c r="N6" s="4" cm="1">
        <f t="array" ref="N6">_FV(Table1[[#This Row],[Stock]],"High")</f>
        <v>206.39</v>
      </c>
      <c r="O6" s="4" cm="1">
        <f t="array" ref="O6">_FV(Table1[[#This Row],[Stock]],"Open")</f>
        <v>205.52</v>
      </c>
      <c r="P6" s="4" cm="1">
        <f t="array" ref="P6">_FV(Table1[[#This Row],[Stock]],"Previous close",TRUE)</f>
        <v>205.73</v>
      </c>
    </row>
    <row r="7" spans="1:16" x14ac:dyDescent="0.3">
      <c r="A7" t="e" vm="6">
        <v>#VALUE!</v>
      </c>
      <c r="B7" t="str" cm="1">
        <f t="array" ref="B7">_FV(A7,"Name")</f>
        <v>CISCO SYSTEMS, INC.</v>
      </c>
      <c r="C7" s="1" cm="1">
        <f t="array" ref="C7">_FV(A7,"Price")</f>
        <v>57.314999999999998</v>
      </c>
      <c r="D7" s="4" cm="1">
        <f t="array" ref="D7">_FV(Table1[[#This Row],[Stock]],"Change")</f>
        <v>-0.245</v>
      </c>
      <c r="E7" s="3" cm="1">
        <f t="array" ref="E7">_FV(Table1[[#This Row],[Stock]],"Change (%)",TRUE)</f>
        <v>-4.2559999999999994E-3</v>
      </c>
      <c r="F7" s="4" cm="1">
        <f t="array" ref="F7">_FV(Table1[[#This Row],[Stock]],"52 week low",TRUE)</f>
        <v>35.28</v>
      </c>
      <c r="G7" s="4" cm="1">
        <f t="array" ref="G7">_FV(Table1[[#This Row],[Stock]],"52 week high",TRUE)</f>
        <v>60.27</v>
      </c>
      <c r="H7" s="2" t="str" cm="1">
        <f t="array" ref="H7">_FV(Table1[[#This Row],[Stock]],"Ticker symbol",TRUE)</f>
        <v>CSCO</v>
      </c>
      <c r="I7" s="1" cm="1">
        <f t="array" ref="I7">_FV(Table1[[#This Row],[Stock]],"Volume")</f>
        <v>14092805</v>
      </c>
      <c r="J7" s="4" cm="1">
        <f t="array" ref="J7">_FV(Table1[[#This Row],[Stock]],"P/E",TRUE)</f>
        <v>23.021799999999999</v>
      </c>
      <c r="K7" s="5" cm="1">
        <f t="array" ref="K7">_FV(Table1[[#This Row],[Stock]],"Last trade time",TRUE)</f>
        <v>44455.746399385935</v>
      </c>
      <c r="L7" t="str" cm="1">
        <f t="array" ref="L7">_FV(Table1[[#This Row],[Stock]],"Industry")</f>
        <v>Communications &amp; Networking</v>
      </c>
      <c r="M7" s="4" cm="1">
        <f t="array" ref="M7">_FV(Table1[[#This Row],[Stock]],"Low")</f>
        <v>57.125</v>
      </c>
      <c r="N7" s="4" cm="1">
        <f t="array" ref="N7">_FV(Table1[[#This Row],[Stock]],"High")</f>
        <v>58.82</v>
      </c>
      <c r="O7" s="4" cm="1">
        <f t="array" ref="O7">_FV(Table1[[#This Row],[Stock]],"Open")</f>
        <v>58.31</v>
      </c>
      <c r="P7" s="4" cm="1">
        <f t="array" ref="P7">_FV(Table1[[#This Row],[Stock]],"Previous close",TRUE)</f>
        <v>57.56</v>
      </c>
    </row>
    <row r="8" spans="1:16" x14ac:dyDescent="0.3">
      <c r="A8" t="e" vm="7">
        <v>#VALUE!</v>
      </c>
      <c r="B8" t="str" cm="1">
        <f t="array" ref="B8">_FV(A8,"Name")</f>
        <v>CHEVRON CORPORATION</v>
      </c>
      <c r="C8" s="1" cm="1">
        <f t="array" ref="C8">_FV(A8,"Price")</f>
        <v>97.59</v>
      </c>
      <c r="D8" s="4" cm="1">
        <f t="array" ref="D8">_FV(Table1[[#This Row],[Stock]],"Change")</f>
        <v>-0.65</v>
      </c>
      <c r="E8" s="3" cm="1">
        <f t="array" ref="E8">_FV(Table1[[#This Row],[Stock]],"Change (%)",TRUE)</f>
        <v>-6.6159999999999995E-3</v>
      </c>
      <c r="F8" s="4" cm="1">
        <f t="array" ref="F8">_FV(Table1[[#This Row],[Stock]],"52 week low",TRUE)</f>
        <v>65.16</v>
      </c>
      <c r="G8" s="4" cm="1">
        <f t="array" ref="G8">_FV(Table1[[#This Row],[Stock]],"52 week high",TRUE)</f>
        <v>113.11</v>
      </c>
      <c r="H8" s="2" t="str" cm="1">
        <f t="array" ref="H8">_FV(Table1[[#This Row],[Stock]],"Ticker symbol",TRUE)</f>
        <v>CVX</v>
      </c>
      <c r="I8" s="1" cm="1">
        <f t="array" ref="I8">_FV(Table1[[#This Row],[Stock]],"Volume")</f>
        <v>6637640</v>
      </c>
      <c r="J8" s="4" cm="1">
        <f t="array" ref="J8">_FV(Table1[[#This Row],[Stock]],"P/E",TRUE)</f>
        <v>52.742899999999999</v>
      </c>
      <c r="K8" s="5" cm="1">
        <f t="array" ref="K8">_FV(Table1[[#This Row],[Stock]],"Last trade time",TRUE)</f>
        <v>44455.746355207812</v>
      </c>
      <c r="L8" t="str" cm="1">
        <f t="array" ref="L8">_FV(Table1[[#This Row],[Stock]],"Industry")</f>
        <v>Oil &amp; Gas</v>
      </c>
      <c r="M8" s="4" cm="1">
        <f t="array" ref="M8">_FV(Table1[[#This Row],[Stock]],"Low")</f>
        <v>96.91</v>
      </c>
      <c r="N8" s="4" cm="1">
        <f t="array" ref="N8">_FV(Table1[[#This Row],[Stock]],"High")</f>
        <v>98.58</v>
      </c>
      <c r="O8" s="4" cm="1">
        <f t="array" ref="O8">_FV(Table1[[#This Row],[Stock]],"Open")</f>
        <v>98.37</v>
      </c>
      <c r="P8" s="4" cm="1">
        <f t="array" ref="P8">_FV(Table1[[#This Row],[Stock]],"Previous close",TRUE)</f>
        <v>98.24</v>
      </c>
    </row>
    <row r="9" spans="1:16" x14ac:dyDescent="0.3">
      <c r="A9" t="e" vm="8">
        <v>#VALUE!</v>
      </c>
      <c r="B9" t="str" cm="1">
        <f t="array" ref="B9">_FV(A9,"Name")</f>
        <v>THE GOLDMAN SACHS GROUP, INC.</v>
      </c>
      <c r="C9" s="1" cm="1">
        <f t="array" ref="C9">_FV(A9,"Price")</f>
        <v>396.45190000000002</v>
      </c>
      <c r="D9" s="4" cm="1">
        <f t="array" ref="D9">_FV(Table1[[#This Row],[Stock]],"Change")</f>
        <v>-5.4981</v>
      </c>
      <c r="E9" s="3" cm="1">
        <f t="array" ref="E9">_FV(Table1[[#This Row],[Stock]],"Change (%)",TRUE)</f>
        <v>-1.3678999999999998E-2</v>
      </c>
      <c r="F9" s="4" cm="1">
        <f t="array" ref="F9">_FV(Table1[[#This Row],[Stock]],"52 week low",TRUE)</f>
        <v>185.52</v>
      </c>
      <c r="G9" s="4" cm="1">
        <f t="array" ref="G9">_FV(Table1[[#This Row],[Stock]],"52 week high",TRUE)</f>
        <v>420.75990000000002</v>
      </c>
      <c r="H9" s="2" t="str" cm="1">
        <f t="array" ref="H9">_FV(Table1[[#This Row],[Stock]],"Ticker symbol",TRUE)</f>
        <v>GS</v>
      </c>
      <c r="I9" s="1" cm="1">
        <f t="array" ref="I9">_FV(Table1[[#This Row],[Stock]],"Volume")</f>
        <v>1510420</v>
      </c>
      <c r="J9" s="4" cm="1">
        <f t="array" ref="J9">_FV(Table1[[#This Row],[Stock]],"P/E",TRUE)</f>
        <v>7.3510999999999997</v>
      </c>
      <c r="K9" s="5" cm="1">
        <f t="array" ref="K9">_FV(Table1[[#This Row],[Stock]],"Last trade time",TRUE)</f>
        <v>44455.746392800778</v>
      </c>
      <c r="L9" t="str" cm="1">
        <f t="array" ref="L9">_FV(Table1[[#This Row],[Stock]],"Industry")</f>
        <v>Investment Banking &amp; Investment Services</v>
      </c>
      <c r="M9" s="4" cm="1">
        <f t="array" ref="M9">_FV(Table1[[#This Row],[Stock]],"Low")</f>
        <v>394.89</v>
      </c>
      <c r="N9" s="4" cm="1">
        <f t="array" ref="N9">_FV(Table1[[#This Row],[Stock]],"High")</f>
        <v>405.98</v>
      </c>
      <c r="O9" s="4" cm="1">
        <f t="array" ref="O9">_FV(Table1[[#This Row],[Stock]],"Open")</f>
        <v>403.42</v>
      </c>
      <c r="P9" s="4" cm="1">
        <f t="array" ref="P9">_FV(Table1[[#This Row],[Stock]],"Previous close",TRUE)</f>
        <v>401.95</v>
      </c>
    </row>
    <row r="10" spans="1:16" x14ac:dyDescent="0.3">
      <c r="A10" t="e" vm="9">
        <v>#VALUE!</v>
      </c>
      <c r="B10" t="str" cm="1">
        <f t="array" ref="B10">_FV(A10,"Name")</f>
        <v>THE HOME DEPOT, INC.</v>
      </c>
      <c r="C10" s="1" cm="1">
        <f t="array" ref="C10">_FV(A10,"Price")</f>
        <v>335.71</v>
      </c>
      <c r="D10" s="4" cm="1">
        <f t="array" ref="D10">_FV(Table1[[#This Row],[Stock]],"Change")</f>
        <v>2.34</v>
      </c>
      <c r="E10" s="3" cm="1">
        <f t="array" ref="E10">_FV(Table1[[#This Row],[Stock]],"Change (%)",TRUE)</f>
        <v>7.0190000000000001E-3</v>
      </c>
      <c r="F10" s="4" cm="1">
        <f t="array" ref="F10">_FV(Table1[[#This Row],[Stock]],"52 week low",TRUE)</f>
        <v>246.59</v>
      </c>
      <c r="G10" s="4" cm="1">
        <f t="array" ref="G10">_FV(Table1[[#This Row],[Stock]],"52 week high",TRUE)</f>
        <v>345.69</v>
      </c>
      <c r="H10" s="2" t="str" cm="1">
        <f t="array" ref="H10">_FV(Table1[[#This Row],[Stock]],"Ticker symbol",TRUE)</f>
        <v>HD</v>
      </c>
      <c r="I10" s="1" cm="1">
        <f t="array" ref="I10">_FV(Table1[[#This Row],[Stock]],"Volume")</f>
        <v>1537181</v>
      </c>
      <c r="J10" s="4" cm="1">
        <f t="array" ref="J10">_FV(Table1[[#This Row],[Stock]],"P/E",TRUE)</f>
        <v>23.450099999999999</v>
      </c>
      <c r="K10" s="5" cm="1">
        <f t="array" ref="K10">_FV(Table1[[#This Row],[Stock]],"Last trade time",TRUE)</f>
        <v>44455.746295878904</v>
      </c>
      <c r="L10" t="str" cm="1">
        <f t="array" ref="L10">_FV(Table1[[#This Row],[Stock]],"Industry")</f>
        <v>Specialty Retailers</v>
      </c>
      <c r="M10" s="4" cm="1">
        <f t="array" ref="M10">_FV(Table1[[#This Row],[Stock]],"Low")</f>
        <v>334.17</v>
      </c>
      <c r="N10" s="4" cm="1">
        <f t="array" ref="N10">_FV(Table1[[#This Row],[Stock]],"High")</f>
        <v>337.84</v>
      </c>
      <c r="O10" s="4" cm="1">
        <f t="array" ref="O10">_FV(Table1[[#This Row],[Stock]],"Open")</f>
        <v>334.72</v>
      </c>
      <c r="P10" s="4" cm="1">
        <f t="array" ref="P10">_FV(Table1[[#This Row],[Stock]],"Previous close",TRUE)</f>
        <v>333.37</v>
      </c>
    </row>
    <row r="11" spans="1:16" x14ac:dyDescent="0.3">
      <c r="A11" t="e" vm="10">
        <v>#VALUE!</v>
      </c>
      <c r="B11" t="str" cm="1">
        <f t="array" ref="B11">_FV(A11,"Name")</f>
        <v>HONEYWELL INTERNATIONAL INC.</v>
      </c>
      <c r="C11" s="1" cm="1">
        <f t="array" ref="C11">_FV(A11,"Price")</f>
        <v>219.76</v>
      </c>
      <c r="D11" s="4" cm="1">
        <f t="array" ref="D11">_FV(Table1[[#This Row],[Stock]],"Change")</f>
        <v>-1.93</v>
      </c>
      <c r="E11" s="3" cm="1">
        <f t="array" ref="E11">_FV(Table1[[#This Row],[Stock]],"Change (%)",TRUE)</f>
        <v>-8.7060000000000002E-3</v>
      </c>
      <c r="F11" s="4" cm="1">
        <f t="array" ref="F11">_FV(Table1[[#This Row],[Stock]],"52 week low",TRUE)</f>
        <v>156.851</v>
      </c>
      <c r="G11" s="4" cm="1">
        <f t="array" ref="G11">_FV(Table1[[#This Row],[Stock]],"52 week high",TRUE)</f>
        <v>236.86</v>
      </c>
      <c r="H11" s="2" t="str" cm="1">
        <f t="array" ref="H11">_FV(Table1[[#This Row],[Stock]],"Ticker symbol",TRUE)</f>
        <v>HON</v>
      </c>
      <c r="I11" s="1" cm="1">
        <f t="array" ref="I11">_FV(Table1[[#This Row],[Stock]],"Volume")</f>
        <v>925680</v>
      </c>
      <c r="J11" s="4" cm="1">
        <f t="array" ref="J11">_FV(Table1[[#This Row],[Stock]],"P/E",TRUE)</f>
        <v>31.474699999999999</v>
      </c>
      <c r="K11" s="5" cm="1">
        <f t="array" ref="K11">_FV(Table1[[#This Row],[Stock]],"Last trade time",TRUE)</f>
        <v>44455.746407024999</v>
      </c>
      <c r="L11" t="str" cm="1">
        <f t="array" ref="L11">_FV(Table1[[#This Row],[Stock]],"Industry")</f>
        <v>Consumer Goods Conglomerates</v>
      </c>
      <c r="M11" s="4" cm="1">
        <f t="array" ref="M11">_FV(Table1[[#This Row],[Stock]],"Low")</f>
        <v>218.54</v>
      </c>
      <c r="N11" s="4" cm="1">
        <f t="array" ref="N11">_FV(Table1[[#This Row],[Stock]],"High")</f>
        <v>221.41</v>
      </c>
      <c r="O11" s="4" cm="1">
        <f t="array" ref="O11">_FV(Table1[[#This Row],[Stock]],"Open")</f>
        <v>221.27</v>
      </c>
      <c r="P11" s="4" cm="1">
        <f t="array" ref="P11">_FV(Table1[[#This Row],[Stock]],"Previous close",TRUE)</f>
        <v>221.69</v>
      </c>
    </row>
    <row r="12" spans="1:16" x14ac:dyDescent="0.3">
      <c r="A12" t="e" vm="11">
        <v>#VALUE!</v>
      </c>
      <c r="B12" t="str" cm="1">
        <f t="array" ref="B12">_FV(A12,"Name")</f>
        <v>INTERNATIONAL BUSINESS MACHINES CORPORATION</v>
      </c>
      <c r="C12" s="1" cm="1">
        <f t="array" ref="C12">_FV(A12,"Price")</f>
        <v>136.33000000000001</v>
      </c>
      <c r="D12" s="4" cm="1">
        <f t="array" ref="D12">_FV(Table1[[#This Row],[Stock]],"Change")</f>
        <v>-0.87</v>
      </c>
      <c r="E12" s="3" cm="1">
        <f t="array" ref="E12">_FV(Table1[[#This Row],[Stock]],"Change (%)",TRUE)</f>
        <v>-6.3410000000000003E-3</v>
      </c>
      <c r="F12" s="4" cm="1">
        <f t="array" ref="F12">_FV(Table1[[#This Row],[Stock]],"52 week low",TRUE)</f>
        <v>105.92</v>
      </c>
      <c r="G12" s="4" cm="1">
        <f t="array" ref="G12">_FV(Table1[[#This Row],[Stock]],"52 week high",TRUE)</f>
        <v>152.84</v>
      </c>
      <c r="H12" s="2" t="str" cm="1">
        <f t="array" ref="H12">_FV(Table1[[#This Row],[Stock]],"Ticker symbol",TRUE)</f>
        <v>IBM</v>
      </c>
      <c r="I12" s="1" cm="1">
        <f t="array" ref="I12">_FV(Table1[[#This Row],[Stock]],"Volume")</f>
        <v>1253312</v>
      </c>
      <c r="J12" s="4" cm="1">
        <f t="array" ref="J12">_FV(Table1[[#This Row],[Stock]],"P/E",TRUE)</f>
        <v>23.7029</v>
      </c>
      <c r="K12" s="5" cm="1">
        <f t="array" ref="K12">_FV(Table1[[#This Row],[Stock]],"Last trade time",TRUE)</f>
        <v>44455.746384628903</v>
      </c>
      <c r="L12" t="str" cm="1">
        <f t="array" ref="L12">_FV(Table1[[#This Row],[Stock]],"Industry")</f>
        <v>Software &amp; IT Services</v>
      </c>
      <c r="M12" s="4" cm="1">
        <f t="array" ref="M12">_FV(Table1[[#This Row],[Stock]],"Low")</f>
        <v>135.72</v>
      </c>
      <c r="N12" s="4" cm="1">
        <f t="array" ref="N12">_FV(Table1[[#This Row],[Stock]],"High")</f>
        <v>137.94999999999999</v>
      </c>
      <c r="O12" s="4" cm="1">
        <f t="array" ref="O12">_FV(Table1[[#This Row],[Stock]],"Open")</f>
        <v>137.34</v>
      </c>
      <c r="P12" s="4" cm="1">
        <f t="array" ref="P12">_FV(Table1[[#This Row],[Stock]],"Previous close",TRUE)</f>
        <v>137.19999999999999</v>
      </c>
    </row>
    <row r="13" spans="1:16" x14ac:dyDescent="0.3">
      <c r="A13" t="e" vm="12">
        <v>#VALUE!</v>
      </c>
      <c r="B13" t="str" cm="1">
        <f t="array" ref="B13">_FV(A13,"Name")</f>
        <v>INTEL CORPORATION</v>
      </c>
      <c r="C13" s="1" cm="1">
        <f t="array" ref="C13">_FV(A13,"Price")</f>
        <v>54.529899999999998</v>
      </c>
      <c r="D13" s="4" cm="1">
        <f t="array" ref="D13">_FV(Table1[[#This Row],[Stock]],"Change")</f>
        <v>-0.59009999999999996</v>
      </c>
      <c r="E13" s="3" cm="1">
        <f t="array" ref="E13">_FV(Table1[[#This Row],[Stock]],"Change (%)",TRUE)</f>
        <v>-1.0706E-2</v>
      </c>
      <c r="F13" s="4" cm="1">
        <f t="array" ref="F13">_FV(Table1[[#This Row],[Stock]],"52 week low",TRUE)</f>
        <v>43.61</v>
      </c>
      <c r="G13" s="4" cm="1">
        <f t="array" ref="G13">_FV(Table1[[#This Row],[Stock]],"52 week high",TRUE)</f>
        <v>68.489999999999995</v>
      </c>
      <c r="H13" s="2" t="str" cm="1">
        <f t="array" ref="H13">_FV(Table1[[#This Row],[Stock]],"Ticker symbol",TRUE)</f>
        <v>INTC</v>
      </c>
      <c r="I13" s="1" cm="1">
        <f t="array" ref="I13">_FV(Table1[[#This Row],[Stock]],"Volume")</f>
        <v>9674561</v>
      </c>
      <c r="J13" s="4" cm="1">
        <f t="array" ref="J13">_FV(Table1[[#This Row],[Stock]],"P/E",TRUE)</f>
        <v>12.2585</v>
      </c>
      <c r="K13" s="5" cm="1">
        <f t="array" ref="K13">_FV(Table1[[#This Row],[Stock]],"Last trade time",TRUE)</f>
        <v>44455.746362950784</v>
      </c>
      <c r="L13" t="str" cm="1">
        <f t="array" ref="L13">_FV(Table1[[#This Row],[Stock]],"Industry")</f>
        <v>Semiconductors &amp; Semiconductor Equipment</v>
      </c>
      <c r="M13" s="4" cm="1">
        <f t="array" ref="M13">_FV(Table1[[#This Row],[Stock]],"Low")</f>
        <v>54.240099999999998</v>
      </c>
      <c r="N13" s="4" cm="1">
        <f t="array" ref="N13">_FV(Table1[[#This Row],[Stock]],"High")</f>
        <v>54.875799999999998</v>
      </c>
      <c r="O13" s="4" cm="1">
        <f t="array" ref="O13">_FV(Table1[[#This Row],[Stock]],"Open")</f>
        <v>54.8</v>
      </c>
      <c r="P13" s="4" cm="1">
        <f t="array" ref="P13">_FV(Table1[[#This Row],[Stock]],"Previous close",TRUE)</f>
        <v>55.12</v>
      </c>
    </row>
    <row r="14" spans="1:16" x14ac:dyDescent="0.3">
      <c r="A14" t="e" vm="13">
        <v>#VALUE!</v>
      </c>
      <c r="B14" t="str" cm="1">
        <f t="array" ref="B14">_FV(A14,"Name")</f>
        <v>JOHNSON &amp; JOHNSON</v>
      </c>
      <c r="C14" s="1" cm="1">
        <f t="array" ref="C14">_FV(A14,"Price")</f>
        <v>164.54</v>
      </c>
      <c r="D14" s="4" cm="1">
        <f t="array" ref="D14">_FV(Table1[[#This Row],[Stock]],"Change")</f>
        <v>-0.88</v>
      </c>
      <c r="E14" s="3" cm="1">
        <f t="array" ref="E14">_FV(Table1[[#This Row],[Stock]],"Change (%)",TRUE)</f>
        <v>-5.3200000000000001E-3</v>
      </c>
      <c r="F14" s="4" cm="1">
        <f t="array" ref="F14">_FV(Table1[[#This Row],[Stock]],"52 week low",TRUE)</f>
        <v>133.65</v>
      </c>
      <c r="G14" s="4" cm="1">
        <f t="array" ref="G14">_FV(Table1[[#This Row],[Stock]],"52 week high",TRUE)</f>
        <v>179.92</v>
      </c>
      <c r="H14" s="2" t="str" cm="1">
        <f t="array" ref="H14">_FV(Table1[[#This Row],[Stock]],"Ticker symbol",TRUE)</f>
        <v>JNJ</v>
      </c>
      <c r="I14" s="1" cm="1">
        <f t="array" ref="I14">_FV(Table1[[#This Row],[Stock]],"Volume")</f>
        <v>2568976</v>
      </c>
      <c r="J14" s="4" cm="1">
        <f t="array" ref="J14">_FV(Table1[[#This Row],[Stock]],"P/E",TRUE)</f>
        <v>24.872199999999999</v>
      </c>
      <c r="K14" s="5" cm="1">
        <f t="array" ref="K14">_FV(Table1[[#This Row],[Stock]],"Last trade time",TRUE)</f>
        <v>44455.746392777342</v>
      </c>
      <c r="L14" t="str" cm="1">
        <f t="array" ref="L14">_FV(Table1[[#This Row],[Stock]],"Industry")</f>
        <v>Pharmaceuticals</v>
      </c>
      <c r="M14" s="4" cm="1">
        <f t="array" ref="M14">_FV(Table1[[#This Row],[Stock]],"Low")</f>
        <v>164.19</v>
      </c>
      <c r="N14" s="4" cm="1">
        <f t="array" ref="N14">_FV(Table1[[#This Row],[Stock]],"High")</f>
        <v>166.45</v>
      </c>
      <c r="O14" s="4" cm="1">
        <f t="array" ref="O14">_FV(Table1[[#This Row],[Stock]],"Open")</f>
        <v>165.75</v>
      </c>
      <c r="P14" s="4" cm="1">
        <f t="array" ref="P14">_FV(Table1[[#This Row],[Stock]],"Previous close",TRUE)</f>
        <v>165.42</v>
      </c>
    </row>
    <row r="15" spans="1:16" x14ac:dyDescent="0.3">
      <c r="A15" t="e" vm="14">
        <v>#VALUE!</v>
      </c>
      <c r="B15" t="str" cm="1">
        <f t="array" ref="B15">_FV(A15,"Name")</f>
        <v>THE COCA-COLA COMPANY</v>
      </c>
      <c r="C15" s="1" cm="1">
        <f t="array" ref="C15">_FV(A15,"Price")</f>
        <v>55.42</v>
      </c>
      <c r="D15" s="4" cm="1">
        <f t="array" ref="D15">_FV(Table1[[#This Row],[Stock]],"Change")</f>
        <v>-0.46</v>
      </c>
      <c r="E15" s="3" cm="1">
        <f t="array" ref="E15">_FV(Table1[[#This Row],[Stock]],"Change (%)",TRUE)</f>
        <v>-8.2319999999999997E-3</v>
      </c>
      <c r="F15" s="4" cm="1">
        <f t="array" ref="F15">_FV(Table1[[#This Row],[Stock]],"52 week low",TRUE)</f>
        <v>47.3</v>
      </c>
      <c r="G15" s="4" cm="1">
        <f t="array" ref="G15">_FV(Table1[[#This Row],[Stock]],"52 week high",TRUE)</f>
        <v>57.56</v>
      </c>
      <c r="H15" s="2" t="str" cm="1">
        <f t="array" ref="H15">_FV(Table1[[#This Row],[Stock]],"Ticker symbol",TRUE)</f>
        <v>KO</v>
      </c>
      <c r="I15" s="1" cm="1">
        <f t="array" ref="I15">_FV(Table1[[#This Row],[Stock]],"Volume")</f>
        <v>9352564</v>
      </c>
      <c r="J15" s="4" cm="1">
        <f t="array" ref="J15">_FV(Table1[[#This Row],[Stock]],"P/E",TRUE)</f>
        <v>29.952500000000001</v>
      </c>
      <c r="K15" s="5" cm="1">
        <f t="array" ref="K15">_FV(Table1[[#This Row],[Stock]],"Last trade time",TRUE)</f>
        <v>44455.746369212502</v>
      </c>
      <c r="L15" t="str" cm="1">
        <f t="array" ref="L15">_FV(Table1[[#This Row],[Stock]],"Industry")</f>
        <v>Beverages</v>
      </c>
      <c r="M15" s="4" cm="1">
        <f t="array" ref="M15">_FV(Table1[[#This Row],[Stock]],"Low")</f>
        <v>54.82</v>
      </c>
      <c r="N15" s="4" cm="1">
        <f t="array" ref="N15">_FV(Table1[[#This Row],[Stock]],"High")</f>
        <v>55.984999999999999</v>
      </c>
      <c r="O15" s="4" cm="1">
        <f t="array" ref="O15">_FV(Table1[[#This Row],[Stock]],"Open")</f>
        <v>55.77</v>
      </c>
      <c r="P15" s="4" cm="1">
        <f t="array" ref="P15">_FV(Table1[[#This Row],[Stock]],"Previous close",TRUE)</f>
        <v>55.88</v>
      </c>
    </row>
    <row r="16" spans="1:16" x14ac:dyDescent="0.3">
      <c r="A16" t="e" vm="15">
        <v>#VALUE!</v>
      </c>
      <c r="B16" t="str" cm="1">
        <f t="array" ref="B16">_FV(A16,"Name")</f>
        <v>JPMORGAN CHASE &amp; CO.</v>
      </c>
      <c r="C16" s="1" cm="1">
        <f t="array" ref="C16">_FV(A16,"Price")</f>
        <v>158.33000000000001</v>
      </c>
      <c r="D16" s="4" cm="1">
        <f t="array" ref="D16">_FV(Table1[[#This Row],[Stock]],"Change")</f>
        <v>0.17</v>
      </c>
      <c r="E16" s="3" cm="1">
        <f t="array" ref="E16">_FV(Table1[[#This Row],[Stock]],"Change (%)",TRUE)</f>
        <v>1.075E-3</v>
      </c>
      <c r="F16" s="4" cm="1">
        <f t="array" ref="F16">_FV(Table1[[#This Row],[Stock]],"52 week low",TRUE)</f>
        <v>91.38</v>
      </c>
      <c r="G16" s="4" cm="1">
        <f t="array" ref="G16">_FV(Table1[[#This Row],[Stock]],"52 week high",TRUE)</f>
        <v>167.44</v>
      </c>
      <c r="H16" s="2" t="str" cm="1">
        <f t="array" ref="H16">_FV(Table1[[#This Row],[Stock]],"Ticker symbol",TRUE)</f>
        <v>JPM</v>
      </c>
      <c r="I16" s="1" cm="1">
        <f t="array" ref="I16">_FV(Table1[[#This Row],[Stock]],"Volume")</f>
        <v>5258411</v>
      </c>
      <c r="J16" s="4" cm="1">
        <f t="array" ref="J16">_FV(Table1[[#This Row],[Stock]],"P/E",TRUE)</f>
        <v>10.547499999999999</v>
      </c>
      <c r="K16" s="5" cm="1">
        <f t="array" ref="K16">_FV(Table1[[#This Row],[Stock]],"Last trade time",TRUE)</f>
        <v>44455.74634297422</v>
      </c>
      <c r="L16" t="str" cm="1">
        <f t="array" ref="L16">_FV(Table1[[#This Row],[Stock]],"Industry")</f>
        <v>Banking Services</v>
      </c>
      <c r="M16" s="4" cm="1">
        <f t="array" ref="M16">_FV(Table1[[#This Row],[Stock]],"Low")</f>
        <v>157.22</v>
      </c>
      <c r="N16" s="4" cm="1">
        <f t="array" ref="N16">_FV(Table1[[#This Row],[Stock]],"High")</f>
        <v>160.83959999999999</v>
      </c>
      <c r="O16" s="4" cm="1">
        <f t="array" ref="O16">_FV(Table1[[#This Row],[Stock]],"Open")</f>
        <v>159.08000000000001</v>
      </c>
      <c r="P16" s="4" cm="1">
        <f t="array" ref="P16">_FV(Table1[[#This Row],[Stock]],"Previous close",TRUE)</f>
        <v>158.16</v>
      </c>
    </row>
    <row r="17" spans="1:16" x14ac:dyDescent="0.3">
      <c r="A17" t="e" vm="16">
        <v>#VALUE!</v>
      </c>
      <c r="B17" t="str" cm="1">
        <f t="array" ref="B17">_FV(A17,"Name")</f>
        <v>MCDONALD'S CORPORATION</v>
      </c>
      <c r="C17" s="1" cm="1">
        <f t="array" ref="C17">_FV(A17,"Price")</f>
        <v>242.13</v>
      </c>
      <c r="D17" s="4" cm="1">
        <f t="array" ref="D17">_FV(Table1[[#This Row],[Stock]],"Change")</f>
        <v>1.1499999999999999</v>
      </c>
      <c r="E17" s="3" cm="1">
        <f t="array" ref="E17">_FV(Table1[[#This Row],[Stock]],"Change (%)",TRUE)</f>
        <v>4.7720000000000002E-3</v>
      </c>
      <c r="F17" s="4" cm="1">
        <f t="array" ref="F17">_FV(Table1[[#This Row],[Stock]],"52 week low",TRUE)</f>
        <v>202.73</v>
      </c>
      <c r="G17" s="4" cm="1">
        <f t="array" ref="G17">_FV(Table1[[#This Row],[Stock]],"52 week high",TRUE)</f>
        <v>247.05</v>
      </c>
      <c r="H17" s="2" t="str" cm="1">
        <f t="array" ref="H17">_FV(Table1[[#This Row],[Stock]],"Ticker symbol",TRUE)</f>
        <v>MCD</v>
      </c>
      <c r="I17" s="1" cm="1">
        <f t="array" ref="I17">_FV(Table1[[#This Row],[Stock]],"Volume")</f>
        <v>1256801</v>
      </c>
      <c r="J17" s="4" cm="1">
        <f t="array" ref="J17">_FV(Table1[[#This Row],[Stock]],"P/E",TRUE)</f>
        <v>26.245899999999999</v>
      </c>
      <c r="K17" s="5" cm="1">
        <f t="array" ref="K17">_FV(Table1[[#This Row],[Stock]],"Last trade time",TRUE)</f>
        <v>44455.746334710158</v>
      </c>
      <c r="L17" t="str" cm="1">
        <f t="array" ref="L17">_FV(Table1[[#This Row],[Stock]],"Industry")</f>
        <v>Hotels &amp; Entertainment Services</v>
      </c>
      <c r="M17" s="4" cm="1">
        <f t="array" ref="M17">_FV(Table1[[#This Row],[Stock]],"Low")</f>
        <v>239.95</v>
      </c>
      <c r="N17" s="4" cm="1">
        <f t="array" ref="N17">_FV(Table1[[#This Row],[Stock]],"High")</f>
        <v>242.82</v>
      </c>
      <c r="O17" s="4" cm="1">
        <f t="array" ref="O17">_FV(Table1[[#This Row],[Stock]],"Open")</f>
        <v>240.98</v>
      </c>
      <c r="P17" s="4" cm="1">
        <f t="array" ref="P17">_FV(Table1[[#This Row],[Stock]],"Previous close",TRUE)</f>
        <v>240.98</v>
      </c>
    </row>
    <row r="18" spans="1:16" x14ac:dyDescent="0.3">
      <c r="A18" t="e" vm="17">
        <v>#VALUE!</v>
      </c>
      <c r="B18" t="str" cm="1">
        <f t="array" ref="B18">_FV(A18,"Name")</f>
        <v>3M COMPANY</v>
      </c>
      <c r="C18" s="1" cm="1">
        <f t="array" ref="C18">_FV(A18,"Price")</f>
        <v>182.8</v>
      </c>
      <c r="D18" s="4" cm="1">
        <f t="array" ref="D18">_FV(Table1[[#This Row],[Stock]],"Change")</f>
        <v>-1.39</v>
      </c>
      <c r="E18" s="3" cm="1">
        <f t="array" ref="E18">_FV(Table1[[#This Row],[Stock]],"Change (%)",TRUE)</f>
        <v>-7.5470000000000008E-3</v>
      </c>
      <c r="F18" s="4" cm="1">
        <f t="array" ref="F18">_FV(Table1[[#This Row],[Stock]],"52 week low",TRUE)</f>
        <v>156.13</v>
      </c>
      <c r="G18" s="4" cm="1">
        <f t="array" ref="G18">_FV(Table1[[#This Row],[Stock]],"52 week high",TRUE)</f>
        <v>208.95</v>
      </c>
      <c r="H18" s="2" t="str" cm="1">
        <f t="array" ref="H18">_FV(Table1[[#This Row],[Stock]],"Ticker symbol",TRUE)</f>
        <v>MMM</v>
      </c>
      <c r="I18" s="1" cm="1">
        <f t="array" ref="I18">_FV(Table1[[#This Row],[Stock]],"Volume")</f>
        <v>1182750</v>
      </c>
      <c r="J18" s="4" cm="1">
        <f t="array" ref="J18">_FV(Table1[[#This Row],[Stock]],"P/E",TRUE)</f>
        <v>18.122399999999999</v>
      </c>
      <c r="K18" s="5" cm="1">
        <f t="array" ref="K18">_FV(Table1[[#This Row],[Stock]],"Last trade time",TRUE)</f>
        <v>44455.746316863282</v>
      </c>
      <c r="L18" t="str" cm="1">
        <f t="array" ref="L18">_FV(Table1[[#This Row],[Stock]],"Industry")</f>
        <v>Consumer Goods Conglomerates</v>
      </c>
      <c r="M18" s="4" cm="1">
        <f t="array" ref="M18">_FV(Table1[[#This Row],[Stock]],"Low")</f>
        <v>181.82429999999999</v>
      </c>
      <c r="N18" s="4" cm="1">
        <f t="array" ref="N18">_FV(Table1[[#This Row],[Stock]],"High")</f>
        <v>184.6</v>
      </c>
      <c r="O18" s="4" cm="1">
        <f t="array" ref="O18">_FV(Table1[[#This Row],[Stock]],"Open")</f>
        <v>184.38</v>
      </c>
      <c r="P18" s="4" cm="1">
        <f t="array" ref="P18">_FV(Table1[[#This Row],[Stock]],"Previous close",TRUE)</f>
        <v>184.19</v>
      </c>
    </row>
    <row r="19" spans="1:16" x14ac:dyDescent="0.3">
      <c r="A19" t="e" vm="18">
        <v>#VALUE!</v>
      </c>
      <c r="B19" t="str" cm="1">
        <f t="array" ref="B19">_FV(A19,"Name")</f>
        <v>MERCK &amp; CO., INC.</v>
      </c>
      <c r="C19" s="1" cm="1">
        <f t="array" ref="C19">_FV(A19,"Price")</f>
        <v>71.97</v>
      </c>
      <c r="D19" s="4" cm="1">
        <f t="array" ref="D19">_FV(Table1[[#This Row],[Stock]],"Change")</f>
        <v>-0.84</v>
      </c>
      <c r="E19" s="3" cm="1">
        <f t="array" ref="E19">_FV(Table1[[#This Row],[Stock]],"Change (%)",TRUE)</f>
        <v>-1.1536999999999999E-2</v>
      </c>
      <c r="F19" s="4" cm="1">
        <f t="array" ref="F19">_FV(Table1[[#This Row],[Stock]],"52 week low",TRUE)</f>
        <v>68.382099999999994</v>
      </c>
      <c r="G19" s="4" cm="1">
        <f t="array" ref="G19">_FV(Table1[[#This Row],[Stock]],"52 week high",TRUE)</f>
        <v>82.289299999999997</v>
      </c>
      <c r="H19" s="2" t="str" cm="1">
        <f t="array" ref="H19">_FV(Table1[[#This Row],[Stock]],"Ticker symbol",TRUE)</f>
        <v>MRK</v>
      </c>
      <c r="I19" s="1" cm="1">
        <f t="array" ref="I19">_FV(Table1[[#This Row],[Stock]],"Volume")</f>
        <v>6722810</v>
      </c>
      <c r="J19" s="4" cm="1">
        <f t="array" ref="J19">_FV(Table1[[#This Row],[Stock]],"P/E",TRUE)</f>
        <v>38.536200000000001</v>
      </c>
      <c r="K19" s="5" cm="1">
        <f t="array" ref="K19">_FV(Table1[[#This Row],[Stock]],"Last trade time",TRUE)</f>
        <v>44455.746374363283</v>
      </c>
      <c r="L19" t="str" cm="1">
        <f t="array" ref="L19">_FV(Table1[[#This Row],[Stock]],"Industry")</f>
        <v>Pharmaceuticals</v>
      </c>
      <c r="M19" s="4" cm="1">
        <f t="array" ref="M19">_FV(Table1[[#This Row],[Stock]],"Low")</f>
        <v>71.696799999999996</v>
      </c>
      <c r="N19" s="4" cm="1">
        <f t="array" ref="N19">_FV(Table1[[#This Row],[Stock]],"High")</f>
        <v>72.959999999999994</v>
      </c>
      <c r="O19" s="4" cm="1">
        <f t="array" ref="O19">_FV(Table1[[#This Row],[Stock]],"Open")</f>
        <v>72.95</v>
      </c>
      <c r="P19" s="4" cm="1">
        <f t="array" ref="P19">_FV(Table1[[#This Row],[Stock]],"Previous close",TRUE)</f>
        <v>72.81</v>
      </c>
    </row>
    <row r="20" spans="1:16" x14ac:dyDescent="0.3">
      <c r="A20" t="e" vm="19">
        <v>#VALUE!</v>
      </c>
      <c r="B20" t="str" cm="1">
        <f t="array" ref="B20">_FV(A20,"Name")</f>
        <v>MICROSOFT CORPORATION</v>
      </c>
      <c r="C20" s="1" cm="1">
        <f t="array" ref="C20">_FV(A20,"Price")</f>
        <v>303.14999999999998</v>
      </c>
      <c r="D20" s="4" cm="1">
        <f t="array" ref="D20">_FV(Table1[[#This Row],[Stock]],"Change")</f>
        <v>-1.67</v>
      </c>
      <c r="E20" s="3" cm="1">
        <f t="array" ref="E20">_FV(Table1[[#This Row],[Stock]],"Change (%)",TRUE)</f>
        <v>-5.4790000000000004E-3</v>
      </c>
      <c r="F20" s="4" cm="1">
        <f t="array" ref="F20">_FV(Table1[[#This Row],[Stock]],"52 week low",TRUE)</f>
        <v>196.25</v>
      </c>
      <c r="G20" s="4" cm="1">
        <f t="array" ref="G20">_FV(Table1[[#This Row],[Stock]],"52 week high",TRUE)</f>
        <v>305.83999999999997</v>
      </c>
      <c r="H20" s="2" t="str" cm="1">
        <f t="array" ref="H20">_FV(Table1[[#This Row],[Stock]],"Ticker symbol",TRUE)</f>
        <v>MSFT</v>
      </c>
      <c r="I20" s="1" cm="1">
        <f t="array" ref="I20">_FV(Table1[[#This Row],[Stock]],"Volume")</f>
        <v>10415141</v>
      </c>
      <c r="J20" s="4" cm="1">
        <f t="array" ref="J20">_FV(Table1[[#This Row],[Stock]],"P/E",TRUE)</f>
        <v>37.841999999999999</v>
      </c>
      <c r="K20" s="5" cm="1">
        <f t="array" ref="K20">_FV(Table1[[#This Row],[Stock]],"Last trade time",TRUE)</f>
        <v>44455.746386330466</v>
      </c>
      <c r="L20" t="str" cm="1">
        <f t="array" ref="L20">_FV(Table1[[#This Row],[Stock]],"Industry")</f>
        <v>Software &amp; IT Services</v>
      </c>
      <c r="M20" s="4" cm="1">
        <f t="array" ref="M20">_FV(Table1[[#This Row],[Stock]],"Low")</f>
        <v>300.76</v>
      </c>
      <c r="N20" s="4" cm="1">
        <f t="array" ref="N20">_FV(Table1[[#This Row],[Stock]],"High")</f>
        <v>304.38</v>
      </c>
      <c r="O20" s="4" cm="1">
        <f t="array" ref="O20">_FV(Table1[[#This Row],[Stock]],"Open")</f>
        <v>303.76</v>
      </c>
      <c r="P20" s="4" cm="1">
        <f t="array" ref="P20">_FV(Table1[[#This Row],[Stock]],"Previous close",TRUE)</f>
        <v>304.82</v>
      </c>
    </row>
    <row r="21" spans="1:16" x14ac:dyDescent="0.3">
      <c r="A21" t="e" vm="20">
        <v>#VALUE!</v>
      </c>
      <c r="B21" t="str" cm="1">
        <f t="array" ref="B21">_FV(A21,"Name")</f>
        <v>NIKE, INC.</v>
      </c>
      <c r="C21" s="1" cm="1">
        <f t="array" ref="C21">_FV(A21,"Price")</f>
        <v>157.80000000000001</v>
      </c>
      <c r="D21" s="4" cm="1">
        <f t="array" ref="D21">_FV(Table1[[#This Row],[Stock]],"Change")</f>
        <v>-0.11</v>
      </c>
      <c r="E21" s="3" cm="1">
        <f t="array" ref="E21">_FV(Table1[[#This Row],[Stock]],"Change (%)",TRUE)</f>
        <v>-6.9660000000000002E-4</v>
      </c>
      <c r="F21" s="4" cm="1">
        <f t="array" ref="F21">_FV(Table1[[#This Row],[Stock]],"52 week low",TRUE)</f>
        <v>111.74</v>
      </c>
      <c r="G21" s="4" cm="1">
        <f t="array" ref="G21">_FV(Table1[[#This Row],[Stock]],"52 week high",TRUE)</f>
        <v>174.38</v>
      </c>
      <c r="H21" s="2" t="str" cm="1">
        <f t="array" ref="H21">_FV(Table1[[#This Row],[Stock]],"Ticker symbol",TRUE)</f>
        <v>NKE</v>
      </c>
      <c r="I21" s="1" cm="1">
        <f t="array" ref="I21">_FV(Table1[[#This Row],[Stock]],"Volume")</f>
        <v>2445012</v>
      </c>
      <c r="J21" s="4" cm="1">
        <f t="array" ref="J21">_FV(Table1[[#This Row],[Stock]],"P/E",TRUE)</f>
        <v>44.389400000000002</v>
      </c>
      <c r="K21" s="5" cm="1">
        <f t="array" ref="K21">_FV(Table1[[#This Row],[Stock]],"Last trade time",TRUE)</f>
        <v>44455.735957765624</v>
      </c>
      <c r="L21" t="str" cm="1">
        <f t="array" ref="L21">_FV(Table1[[#This Row],[Stock]],"Industry")</f>
        <v>Textiles &amp; Apparel</v>
      </c>
      <c r="M21" s="4" cm="1">
        <f t="array" ref="M21">_FV(Table1[[#This Row],[Stock]],"Low")</f>
        <v>157.19999999999999</v>
      </c>
      <c r="N21" s="4" cm="1">
        <f t="array" ref="N21">_FV(Table1[[#This Row],[Stock]],"High")</f>
        <v>159.01</v>
      </c>
      <c r="O21" s="4" cm="1">
        <f t="array" ref="O21">_FV(Table1[[#This Row],[Stock]],"Open")</f>
        <v>157.59</v>
      </c>
      <c r="P21" s="4" cm="1">
        <f t="array" ref="P21">_FV(Table1[[#This Row],[Stock]],"Previous close",TRUE)</f>
        <v>157.91</v>
      </c>
    </row>
    <row r="22" spans="1:16" x14ac:dyDescent="0.3">
      <c r="A22" t="e" vm="21">
        <v>#VALUE!</v>
      </c>
      <c r="B22" t="str" cm="1">
        <f t="array" ref="B22">_FV(A22,"Name")</f>
        <v>THE PROCTER &amp; GAMBLE COMPANY</v>
      </c>
      <c r="C22" s="1" cm="1">
        <f t="array" ref="C22">_FV(A22,"Price")</f>
        <v>144.19</v>
      </c>
      <c r="D22" s="4" cm="1">
        <f t="array" ref="D22">_FV(Table1[[#This Row],[Stock]],"Change")</f>
        <v>-0.93</v>
      </c>
      <c r="E22" s="3" cm="1">
        <f t="array" ref="E22">_FV(Table1[[#This Row],[Stock]],"Change (%)",TRUE)</f>
        <v>-6.4080000000000005E-3</v>
      </c>
      <c r="F22" s="4" cm="1">
        <f t="array" ref="F22">_FV(Table1[[#This Row],[Stock]],"52 week low",TRUE)</f>
        <v>121.54</v>
      </c>
      <c r="G22" s="4" cm="1">
        <f t="array" ref="G22">_FV(Table1[[#This Row],[Stock]],"52 week high",TRUE)</f>
        <v>147.22999999999999</v>
      </c>
      <c r="H22" s="2" t="str" cm="1">
        <f t="array" ref="H22">_FV(Table1[[#This Row],[Stock]],"Ticker symbol",TRUE)</f>
        <v>PG</v>
      </c>
      <c r="I22" s="1" cm="1">
        <f t="array" ref="I22">_FV(Table1[[#This Row],[Stock]],"Volume")</f>
        <v>2931934</v>
      </c>
      <c r="J22" s="4" cm="1">
        <f t="array" ref="J22">_FV(Table1[[#This Row],[Stock]],"P/E",TRUE)</f>
        <v>26.413</v>
      </c>
      <c r="K22" s="5" cm="1">
        <f t="array" ref="K22">_FV(Table1[[#This Row],[Stock]],"Last trade time",TRUE)</f>
        <v>44455.746349860936</v>
      </c>
      <c r="L22" t="str" cm="1">
        <f t="array" ref="L22">_FV(Table1[[#This Row],[Stock]],"Industry")</f>
        <v>Personal &amp; Household Products &amp; Services</v>
      </c>
      <c r="M22" s="4" cm="1">
        <f t="array" ref="M22">_FV(Table1[[#This Row],[Stock]],"Low")</f>
        <v>142.83000000000001</v>
      </c>
      <c r="N22" s="4" cm="1">
        <f t="array" ref="N22">_FV(Table1[[#This Row],[Stock]],"High")</f>
        <v>145.19999999999999</v>
      </c>
      <c r="O22" s="4" cm="1">
        <f t="array" ref="O22">_FV(Table1[[#This Row],[Stock]],"Open")</f>
        <v>145.19999999999999</v>
      </c>
      <c r="P22" s="4" cm="1">
        <f t="array" ref="P22">_FV(Table1[[#This Row],[Stock]],"Previous close",TRUE)</f>
        <v>145.12</v>
      </c>
    </row>
    <row r="23" spans="1:16" x14ac:dyDescent="0.3">
      <c r="A23" t="e" vm="22">
        <v>#VALUE!</v>
      </c>
      <c r="B23" t="str" cm="1">
        <f t="array" ref="B23">_FV(A23,"Name")</f>
        <v>The Travelers Companies, Inc.</v>
      </c>
      <c r="C23" s="1" cm="1">
        <f t="array" ref="C23">_FV(A23,"Price")</f>
        <v>157.02000000000001</v>
      </c>
      <c r="D23" s="4" cm="1">
        <f t="array" ref="D23">_FV(Table1[[#This Row],[Stock]],"Change")</f>
        <v>-0.56000000000000005</v>
      </c>
      <c r="E23" s="3" cm="1">
        <f t="array" ref="E23">_FV(Table1[[#This Row],[Stock]],"Change (%)",TRUE)</f>
        <v>-3.5539999999999999E-3</v>
      </c>
      <c r="F23" s="4" cm="1">
        <f t="array" ref="F23">_FV(Table1[[#This Row],[Stock]],"52 week low",TRUE)</f>
        <v>105.67</v>
      </c>
      <c r="G23" s="4" cm="1">
        <f t="array" ref="G23">_FV(Table1[[#This Row],[Stock]],"52 week high",TRUE)</f>
        <v>163.29</v>
      </c>
      <c r="H23" s="2" t="str" cm="1">
        <f t="array" ref="H23">_FV(Table1[[#This Row],[Stock]],"Ticker symbol",TRUE)</f>
        <v>TRV</v>
      </c>
      <c r="I23" s="1" cm="1">
        <f t="array" ref="I23">_FV(Table1[[#This Row],[Stock]],"Volume")</f>
        <v>509515</v>
      </c>
      <c r="J23" s="4" cm="1">
        <f t="array" ref="J23">_FV(Table1[[#This Row],[Stock]],"P/E",TRUE)</f>
        <v>10.607100000000001</v>
      </c>
      <c r="K23" s="5" cm="1">
        <f t="array" ref="K23">_FV(Table1[[#This Row],[Stock]],"Last trade time",TRUE)</f>
        <v>44455.74620704844</v>
      </c>
      <c r="L23" t="str" cm="1">
        <f t="array" ref="L23">_FV(Table1[[#This Row],[Stock]],"Industry")</f>
        <v>Insurance</v>
      </c>
      <c r="M23" s="4" cm="1">
        <f t="array" ref="M23">_FV(Table1[[#This Row],[Stock]],"Low")</f>
        <v>155.5</v>
      </c>
      <c r="N23" s="4" cm="1">
        <f t="array" ref="N23">_FV(Table1[[#This Row],[Stock]],"High")</f>
        <v>157.97</v>
      </c>
      <c r="O23" s="4" cm="1">
        <f t="array" ref="O23">_FV(Table1[[#This Row],[Stock]],"Open")</f>
        <v>157.655</v>
      </c>
      <c r="P23" s="4" cm="1">
        <f t="array" ref="P23">_FV(Table1[[#This Row],[Stock]],"Previous close",TRUE)</f>
        <v>157.58000000000001</v>
      </c>
    </row>
    <row r="24" spans="1:16" x14ac:dyDescent="0.3">
      <c r="A24" t="e" vm="23">
        <v>#VALUE!</v>
      </c>
      <c r="B24" t="str" cm="1">
        <f t="array" ref="B24">_FV(A24,"Name")</f>
        <v>UNITEDHEALTH GROUP INCORPORATED</v>
      </c>
      <c r="C24" s="1" cm="1">
        <f t="array" ref="C24">_FV(A24,"Price")</f>
        <v>416.99</v>
      </c>
      <c r="D24" s="4" cm="1">
        <f t="array" ref="D24">_FV(Table1[[#This Row],[Stock]],"Change")</f>
        <v>-0.53</v>
      </c>
      <c r="E24" s="3" cm="1">
        <f t="array" ref="E24">_FV(Table1[[#This Row],[Stock]],"Change (%)",TRUE)</f>
        <v>-1.2690000000000002E-3</v>
      </c>
      <c r="F24" s="4" cm="1">
        <f t="array" ref="F24">_FV(Table1[[#This Row],[Stock]],"52 week low",TRUE)</f>
        <v>289.64</v>
      </c>
      <c r="G24" s="4" cm="1">
        <f t="array" ref="G24">_FV(Table1[[#This Row],[Stock]],"52 week high",TRUE)</f>
        <v>431.35500000000002</v>
      </c>
      <c r="H24" s="2" t="str" cm="1">
        <f t="array" ref="H24">_FV(Table1[[#This Row],[Stock]],"Ticker symbol",TRUE)</f>
        <v>UNH</v>
      </c>
      <c r="I24" s="1" cm="1">
        <f t="array" ref="I24">_FV(Table1[[#This Row],[Stock]],"Volume")</f>
        <v>1028529</v>
      </c>
      <c r="J24" s="4" cm="1">
        <f t="array" ref="J24">_FV(Table1[[#This Row],[Stock]],"P/E",TRUE)</f>
        <v>27.573899999999998</v>
      </c>
      <c r="K24" s="5" cm="1">
        <f t="array" ref="K24">_FV(Table1[[#This Row],[Stock]],"Last trade time",TRUE)</f>
        <v>44455.746400404685</v>
      </c>
      <c r="L24" t="str" cm="1">
        <f t="array" ref="L24">_FV(Table1[[#This Row],[Stock]],"Industry")</f>
        <v>Healthcare Providers &amp; Services</v>
      </c>
      <c r="M24" s="4" cm="1">
        <f t="array" ref="M24">_FV(Table1[[#This Row],[Stock]],"Low")</f>
        <v>415.04</v>
      </c>
      <c r="N24" s="4" cm="1">
        <f t="array" ref="N24">_FV(Table1[[#This Row],[Stock]],"High")</f>
        <v>423.4</v>
      </c>
      <c r="O24" s="4" cm="1">
        <f t="array" ref="O24">_FV(Table1[[#This Row],[Stock]],"Open")</f>
        <v>419.69</v>
      </c>
      <c r="P24" s="4" cm="1">
        <f t="array" ref="P24">_FV(Table1[[#This Row],[Stock]],"Previous close",TRUE)</f>
        <v>417.52</v>
      </c>
    </row>
    <row r="25" spans="1:16" x14ac:dyDescent="0.3">
      <c r="A25" t="e" vm="24">
        <v>#VALUE!</v>
      </c>
      <c r="B25" t="str" cm="1">
        <f t="array" ref="B25">_FV(A25,"Name")</f>
        <v>SALESFORCE.COM, INC.</v>
      </c>
      <c r="C25" s="1" cm="1">
        <f t="array" ref="C25">_FV(A25,"Price")</f>
        <v>258.52120000000002</v>
      </c>
      <c r="D25" s="4" cm="1">
        <f t="array" ref="D25">_FV(Table1[[#This Row],[Stock]],"Change")</f>
        <v>2.3612000000000002</v>
      </c>
      <c r="E25" s="3" cm="1">
        <f t="array" ref="E25">_FV(Table1[[#This Row],[Stock]],"Change (%)",TRUE)</f>
        <v>9.2179999999999988E-3</v>
      </c>
      <c r="F25" s="4" cm="1">
        <f t="array" ref="F25">_FV(Table1[[#This Row],[Stock]],"52 week low",TRUE)</f>
        <v>201.51</v>
      </c>
      <c r="G25" s="4" cm="1">
        <f t="array" ref="G25">_FV(Table1[[#This Row],[Stock]],"52 week high",TRUE)</f>
        <v>275.22000000000003</v>
      </c>
      <c r="H25" s="2" t="str" cm="1">
        <f t="array" ref="H25">_FV(Table1[[#This Row],[Stock]],"Ticker symbol",TRUE)</f>
        <v>CRM</v>
      </c>
      <c r="I25" s="1" cm="1">
        <f t="array" ref="I25">_FV(Table1[[#This Row],[Stock]],"Volume")</f>
        <v>2060971</v>
      </c>
      <c r="J25" s="4" cm="1">
        <f t="array" ref="J25">_FV(Table1[[#This Row],[Stock]],"P/E",TRUE)</f>
        <v>101.6032</v>
      </c>
      <c r="K25" s="5" cm="1">
        <f t="array" ref="K25">_FV(Table1[[#This Row],[Stock]],"Last trade time",TRUE)</f>
        <v>44455.746421527343</v>
      </c>
      <c r="L25" t="str" cm="1">
        <f t="array" ref="L25">_FV(Table1[[#This Row],[Stock]],"Industry")</f>
        <v>Software &amp; IT Services</v>
      </c>
      <c r="M25" s="4" cm="1">
        <f t="array" ref="M25">_FV(Table1[[#This Row],[Stock]],"Low")</f>
        <v>255</v>
      </c>
      <c r="N25" s="4" cm="1">
        <f t="array" ref="N25">_FV(Table1[[#This Row],[Stock]],"High")</f>
        <v>258.64</v>
      </c>
      <c r="O25" s="4" cm="1">
        <f t="array" ref="O25">_FV(Table1[[#This Row],[Stock]],"Open")</f>
        <v>255.62</v>
      </c>
      <c r="P25" s="4" cm="1">
        <f t="array" ref="P25">_FV(Table1[[#This Row],[Stock]],"Previous close",TRUE)</f>
        <v>256.16000000000003</v>
      </c>
    </row>
    <row r="26" spans="1:16" x14ac:dyDescent="0.3">
      <c r="A26" t="e" vm="25">
        <v>#VALUE!</v>
      </c>
      <c r="B26" t="str" cm="1">
        <f t="array" ref="B26">_FV(A26,"Name")</f>
        <v>VERIZON COMMUNICATIONS INC.</v>
      </c>
      <c r="C26" s="1" cm="1">
        <f t="array" ref="C26">_FV(A26,"Price")</f>
        <v>54.54</v>
      </c>
      <c r="D26" s="4" cm="1">
        <f t="array" ref="D26">_FV(Table1[[#This Row],[Stock]],"Change")</f>
        <v>-0.03</v>
      </c>
      <c r="E26" s="3" cm="1">
        <f t="array" ref="E26">_FV(Table1[[#This Row],[Stock]],"Change (%)",TRUE)</f>
        <v>-5.4980000000000003E-4</v>
      </c>
      <c r="F26" s="4" cm="1">
        <f t="array" ref="F26">_FV(Table1[[#This Row],[Stock]],"52 week low",TRUE)</f>
        <v>53.83</v>
      </c>
      <c r="G26" s="4" cm="1">
        <f t="array" ref="G26">_FV(Table1[[#This Row],[Stock]],"52 week high",TRUE)</f>
        <v>61.95</v>
      </c>
      <c r="H26" s="2" t="str" cm="1">
        <f t="array" ref="H26">_FV(Table1[[#This Row],[Stock]],"Ticker symbol",TRUE)</f>
        <v>VZ</v>
      </c>
      <c r="I26" s="1" cm="1">
        <f t="array" ref="I26">_FV(Table1[[#This Row],[Stock]],"Volume")</f>
        <v>7599279</v>
      </c>
      <c r="J26" s="4" cm="1">
        <f t="array" ref="J26">_FV(Table1[[#This Row],[Stock]],"P/E",TRUE)</f>
        <v>11.9655</v>
      </c>
      <c r="K26" s="5" cm="1">
        <f t="array" ref="K26">_FV(Table1[[#This Row],[Stock]],"Last trade time",TRUE)</f>
        <v>44455.746348633591</v>
      </c>
      <c r="L26" t="str" cm="1">
        <f t="array" ref="L26">_FV(Table1[[#This Row],[Stock]],"Industry")</f>
        <v>Telecommunications Services</v>
      </c>
      <c r="M26" s="4" cm="1">
        <f t="array" ref="M26">_FV(Table1[[#This Row],[Stock]],"Low")</f>
        <v>54.35</v>
      </c>
      <c r="N26" s="4" cm="1">
        <f t="array" ref="N26">_FV(Table1[[#This Row],[Stock]],"High")</f>
        <v>54.79</v>
      </c>
      <c r="O26" s="4" cm="1">
        <f t="array" ref="O26">_FV(Table1[[#This Row],[Stock]],"Open")</f>
        <v>54.56</v>
      </c>
      <c r="P26" s="4" cm="1">
        <f t="array" ref="P26">_FV(Table1[[#This Row],[Stock]],"Previous close",TRUE)</f>
        <v>54.57</v>
      </c>
    </row>
    <row r="27" spans="1:16" x14ac:dyDescent="0.3">
      <c r="A27" t="e" vm="26">
        <v>#VALUE!</v>
      </c>
      <c r="B27" t="str" cm="1">
        <f t="array" ref="B27">_FV(A27,"Name")</f>
        <v>VISA INC.</v>
      </c>
      <c r="C27" s="1" cm="1">
        <f t="array" ref="C27">_FV(A27,"Price")</f>
        <v>223.79</v>
      </c>
      <c r="D27" s="4" cm="1">
        <f t="array" ref="D27">_FV(Table1[[#This Row],[Stock]],"Change")</f>
        <v>-0.02</v>
      </c>
      <c r="E27" s="3" cm="1">
        <f t="array" ref="E27">_FV(Table1[[#This Row],[Stock]],"Change (%)",TRUE)</f>
        <v>-8.9359999999999998E-5</v>
      </c>
      <c r="F27" s="4" cm="1">
        <f t="array" ref="F27">_FV(Table1[[#This Row],[Stock]],"52 week low",TRUE)</f>
        <v>179.23</v>
      </c>
      <c r="G27" s="4" cm="1">
        <f t="array" ref="G27">_FV(Table1[[#This Row],[Stock]],"52 week high",TRUE)</f>
        <v>252.67</v>
      </c>
      <c r="H27" s="2" t="str" cm="1">
        <f t="array" ref="H27">_FV(Table1[[#This Row],[Stock]],"Ticker symbol",TRUE)</f>
        <v>V</v>
      </c>
      <c r="I27" s="1" cm="1">
        <f t="array" ref="I27">_FV(Table1[[#This Row],[Stock]],"Volume")</f>
        <v>2990371</v>
      </c>
      <c r="J27" s="4" cm="1">
        <f t="array" ref="J27">_FV(Table1[[#This Row],[Stock]],"P/E",TRUE)</f>
        <v>51.846299999999999</v>
      </c>
      <c r="K27" s="5" cm="1">
        <f t="array" ref="K27">_FV(Table1[[#This Row],[Stock]],"Last trade time",TRUE)</f>
        <v>44455.746392187502</v>
      </c>
      <c r="L27" t="str" cm="1">
        <f t="array" ref="L27">_FV(Table1[[#This Row],[Stock]],"Industry")</f>
        <v>Software &amp; IT Services</v>
      </c>
      <c r="M27" s="4" cm="1">
        <f t="array" ref="M27">_FV(Table1[[#This Row],[Stock]],"Low")</f>
        <v>222.75</v>
      </c>
      <c r="N27" s="4" cm="1">
        <f t="array" ref="N27">_FV(Table1[[#This Row],[Stock]],"High")</f>
        <v>225.17</v>
      </c>
      <c r="O27" s="4" cm="1">
        <f t="array" ref="O27">_FV(Table1[[#This Row],[Stock]],"Open")</f>
        <v>224.07</v>
      </c>
      <c r="P27" s="4" cm="1">
        <f t="array" ref="P27">_FV(Table1[[#This Row],[Stock]],"Previous close",TRUE)</f>
        <v>223.81</v>
      </c>
    </row>
    <row r="28" spans="1:16" x14ac:dyDescent="0.3">
      <c r="A28" t="e" vm="27">
        <v>#VALUE!</v>
      </c>
      <c r="B28" t="str" cm="1">
        <f t="array" ref="B28">_FV(A28,"Name")</f>
        <v>WALGREENS BOOTS ALLIANCE, INC.</v>
      </c>
      <c r="C28" s="1" cm="1">
        <f t="array" ref="C28">_FV(A28,"Price")</f>
        <v>49.69</v>
      </c>
      <c r="D28" s="4" cm="1">
        <f t="array" ref="D28">_FV(Table1[[#This Row],[Stock]],"Change")</f>
        <v>-0.43</v>
      </c>
      <c r="E28" s="3" cm="1">
        <f t="array" ref="E28">_FV(Table1[[#This Row],[Stock]],"Change (%)",TRUE)</f>
        <v>-8.5789999999999998E-3</v>
      </c>
      <c r="F28" s="4" cm="1">
        <f t="array" ref="F28">_FV(Table1[[#This Row],[Stock]],"52 week low",TRUE)</f>
        <v>33.36</v>
      </c>
      <c r="G28" s="4" cm="1">
        <f t="array" ref="G28">_FV(Table1[[#This Row],[Stock]],"52 week high",TRUE)</f>
        <v>57.05</v>
      </c>
      <c r="H28" s="2" t="str" cm="1">
        <f t="array" ref="H28">_FV(Table1[[#This Row],[Stock]],"Ticker symbol",TRUE)</f>
        <v>WBA</v>
      </c>
      <c r="I28" s="1" cm="1">
        <f t="array" ref="I28">_FV(Table1[[#This Row],[Stock]],"Volume")</f>
        <v>2736763</v>
      </c>
      <c r="J28" s="4" cm="1">
        <f t="array" ref="J28">_FV(Table1[[#This Row],[Stock]],"P/E",TRUE)</f>
        <v>21.6372</v>
      </c>
      <c r="K28" s="5" cm="1">
        <f t="array" ref="K28">_FV(Table1[[#This Row],[Stock]],"Last trade time",TRUE)</f>
        <v>44455.746272650002</v>
      </c>
      <c r="L28" t="str" cm="1">
        <f t="array" ref="L28">_FV(Table1[[#This Row],[Stock]],"Industry")</f>
        <v>Food &amp; Drug Retailing</v>
      </c>
      <c r="M28" s="4" cm="1">
        <f t="array" ref="M28">_FV(Table1[[#This Row],[Stock]],"Low")</f>
        <v>49.32</v>
      </c>
      <c r="N28" s="4" cm="1">
        <f t="array" ref="N28">_FV(Table1[[#This Row],[Stock]],"High")</f>
        <v>50.35</v>
      </c>
      <c r="O28" s="4" cm="1">
        <f t="array" ref="O28">_FV(Table1[[#This Row],[Stock]],"Open")</f>
        <v>50.11</v>
      </c>
      <c r="P28" s="4" cm="1">
        <f t="array" ref="P28">_FV(Table1[[#This Row],[Stock]],"Previous close",TRUE)</f>
        <v>50.12</v>
      </c>
    </row>
    <row r="29" spans="1:16" x14ac:dyDescent="0.3">
      <c r="A29" t="e" vm="28">
        <v>#VALUE!</v>
      </c>
      <c r="B29" t="str" cm="1">
        <f t="array" ref="B29">_FV(A29,"Name")</f>
        <v>WALMART INC.</v>
      </c>
      <c r="C29" s="1" cm="1">
        <f t="array" ref="C29">_FV(A29,"Price")</f>
        <v>144.66999999999999</v>
      </c>
      <c r="D29" s="4" cm="1">
        <f t="array" ref="D29">_FV(Table1[[#This Row],[Stock]],"Change")</f>
        <v>0.12</v>
      </c>
      <c r="E29" s="3" cm="1">
        <f t="array" ref="E29">_FV(Table1[[#This Row],[Stock]],"Change (%)",TRUE)</f>
        <v>8.3020000000000001E-4</v>
      </c>
      <c r="F29" s="4" cm="1">
        <f t="array" ref="F29">_FV(Table1[[#This Row],[Stock]],"52 week low",TRUE)</f>
        <v>126.28</v>
      </c>
      <c r="G29" s="4" cm="1">
        <f t="array" ref="G29">_FV(Table1[[#This Row],[Stock]],"52 week high",TRUE)</f>
        <v>153.65969999999999</v>
      </c>
      <c r="H29" s="2" t="str" cm="1">
        <f t="array" ref="H29">_FV(Table1[[#This Row],[Stock]],"Ticker symbol",TRUE)</f>
        <v>WMT</v>
      </c>
      <c r="I29" s="1" cm="1">
        <f t="array" ref="I29">_FV(Table1[[#This Row],[Stock]],"Volume")</f>
        <v>2508928</v>
      </c>
      <c r="J29" s="4" cm="1">
        <f t="array" ref="J29">_FV(Table1[[#This Row],[Stock]],"P/E",TRUE)</f>
        <v>40.733899999999998</v>
      </c>
      <c r="K29" s="5" cm="1">
        <f t="array" ref="K29">_FV(Table1[[#This Row],[Stock]],"Last trade time",TRUE)</f>
        <v>44455.746330485934</v>
      </c>
      <c r="L29" t="str" cm="1">
        <f t="array" ref="L29">_FV(Table1[[#This Row],[Stock]],"Industry")</f>
        <v>Food &amp; Drug Retailing</v>
      </c>
      <c r="M29" s="4" cm="1">
        <f t="array" ref="M29">_FV(Table1[[#This Row],[Stock]],"Low")</f>
        <v>143.69200000000001</v>
      </c>
      <c r="N29" s="4" cm="1">
        <f t="array" ref="N29">_FV(Table1[[#This Row],[Stock]],"High")</f>
        <v>145.22</v>
      </c>
      <c r="O29" s="4" cm="1">
        <f t="array" ref="O29">_FV(Table1[[#This Row],[Stock]],"Open")</f>
        <v>144.46</v>
      </c>
      <c r="P29" s="4" cm="1">
        <f t="array" ref="P29">_FV(Table1[[#This Row],[Stock]],"Previous close",TRUE)</f>
        <v>144.55000000000001</v>
      </c>
    </row>
    <row r="30" spans="1:16" x14ac:dyDescent="0.3">
      <c r="A30" t="e" vm="29">
        <v>#VALUE!</v>
      </c>
      <c r="B30" t="str" cm="1">
        <f t="array" ref="B30">_FV(A30,"Name")</f>
        <v>THE WALT DISNEY COMPANY</v>
      </c>
      <c r="C30" s="1" cm="1">
        <f t="array" ref="C30">_FV(A30,"Price")</f>
        <v>182.82499999999999</v>
      </c>
      <c r="D30" s="4" cm="1">
        <f t="array" ref="D30">_FV(Table1[[#This Row],[Stock]],"Change")</f>
        <v>-1.585</v>
      </c>
      <c r="E30" s="3" cm="1">
        <f t="array" ref="E30">_FV(Table1[[#This Row],[Stock]],"Change (%)",TRUE)</f>
        <v>-8.5950000000000002E-3</v>
      </c>
      <c r="F30" s="4" cm="1">
        <f t="array" ref="F30">_FV(Table1[[#This Row],[Stock]],"52 week low",TRUE)</f>
        <v>117.23</v>
      </c>
      <c r="G30" s="4" cm="1">
        <f t="array" ref="G30">_FV(Table1[[#This Row],[Stock]],"52 week high",TRUE)</f>
        <v>203.02</v>
      </c>
      <c r="H30" s="2" t="str" cm="1">
        <f t="array" ref="H30">_FV(Table1[[#This Row],[Stock]],"Ticker symbol",TRUE)</f>
        <v>DIS</v>
      </c>
      <c r="I30" s="1" cm="1">
        <f t="array" ref="I30">_FV(Table1[[#This Row],[Stock]],"Volume")</f>
        <v>2805506</v>
      </c>
      <c r="J30" s="4" cm="1">
        <f t="array" ref="J30">_FV(Table1[[#This Row],[Stock]],"P/E",TRUE)</f>
        <v>294.18049999999999</v>
      </c>
      <c r="K30" s="5" cm="1">
        <f t="array" ref="K30">_FV(Table1[[#This Row],[Stock]],"Last trade time",TRUE)</f>
        <v>44455.746406365623</v>
      </c>
      <c r="L30" t="str" cm="1">
        <f t="array" ref="L30">_FV(Table1[[#This Row],[Stock]],"Industry")</f>
        <v>Media &amp; Publishing</v>
      </c>
      <c r="M30" s="4" cm="1">
        <f t="array" ref="M30">_FV(Table1[[#This Row],[Stock]],"Low")</f>
        <v>182.12</v>
      </c>
      <c r="N30" s="4" cm="1">
        <f t="array" ref="N30">_FV(Table1[[#This Row],[Stock]],"High")</f>
        <v>184.64</v>
      </c>
      <c r="O30" s="4" cm="1">
        <f t="array" ref="O30">_FV(Table1[[#This Row],[Stock]],"Open")</f>
        <v>184.1</v>
      </c>
      <c r="P30" s="4" cm="1">
        <f t="array" ref="P30">_FV(Table1[[#This Row],[Stock]],"Previous close",TRUE)</f>
        <v>184.41</v>
      </c>
    </row>
    <row r="31" spans="1:16" x14ac:dyDescent="0.3">
      <c r="A31" t="e" vm="30">
        <v>#VALUE!</v>
      </c>
      <c r="B31" t="str" cm="1">
        <f t="array" ref="B31">_FV(A31,"Name")</f>
        <v>Dow Inc.</v>
      </c>
      <c r="C31" s="1" cm="1">
        <f t="array" ref="C31">_FV(A31,"Price")</f>
        <v>59.66</v>
      </c>
      <c r="D31" s="4" cm="1">
        <f t="array" ref="D31">_FV(Table1[[#This Row],[Stock]],"Change")</f>
        <v>-0.54</v>
      </c>
      <c r="E31" s="3" cm="1">
        <f t="array" ref="E31">_FV(Table1[[#This Row],[Stock]],"Change (%)",TRUE)</f>
        <v>-8.9700000000000005E-3</v>
      </c>
      <c r="F31" s="4" cm="1">
        <f t="array" ref="F31">_FV(Table1[[#This Row],[Stock]],"52 week low",TRUE)</f>
        <v>44.33</v>
      </c>
      <c r="G31" s="4" cm="1">
        <f t="array" ref="G31">_FV(Table1[[#This Row],[Stock]],"52 week high",TRUE)</f>
        <v>71.38</v>
      </c>
      <c r="H31" s="2" t="str" cm="1">
        <f t="array" ref="H31">_FV(Table1[[#This Row],[Stock]],"Ticker symbol",TRUE)</f>
        <v>DOW</v>
      </c>
      <c r="I31" s="1" cm="1">
        <f t="array" ref="I31">_FV(Table1[[#This Row],[Stock]],"Volume")</f>
        <v>2632547</v>
      </c>
      <c r="J31" s="4" cm="1">
        <f t="array" ref="J31">_FV(Table1[[#This Row],[Stock]],"P/E",TRUE)</f>
        <v>11.0745</v>
      </c>
      <c r="K31" s="5" cm="1">
        <f t="array" ref="K31">_FV(Table1[[#This Row],[Stock]],"Last trade time",TRUE)</f>
        <v>44455.746356284377</v>
      </c>
      <c r="L31" t="str" cm="1">
        <f t="array" ref="L31">_FV(Table1[[#This Row],[Stock]],"Industry")</f>
        <v>Chemicals</v>
      </c>
      <c r="M31" s="4" cm="1">
        <f t="array" ref="M31">_FV(Table1[[#This Row],[Stock]],"Low")</f>
        <v>59.07</v>
      </c>
      <c r="N31" s="4" cm="1">
        <f t="array" ref="N31">_FV(Table1[[#This Row],[Stock]],"High")</f>
        <v>60.32</v>
      </c>
      <c r="O31" s="4" cm="1">
        <f t="array" ref="O31">_FV(Table1[[#This Row],[Stock]],"Open")</f>
        <v>60.145000000000003</v>
      </c>
      <c r="P31" s="4" cm="1">
        <f t="array" ref="P31">_FV(Table1[[#This Row],[Stock]],"Previous close",TRUE)</f>
        <v>60.2</v>
      </c>
    </row>
  </sheetData>
  <pageMargins left="0.7" right="0.7" top="0.75" bottom="0.75" header="0.3" footer="0.3"/>
  <pageSetup paperSize="9" orientation="portrait" horizontalDpi="300"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Chandrark</dc:creator>
  <cp:lastModifiedBy>Chandrark</cp:lastModifiedBy>
  <dcterms:created xsi:type="dcterms:W3CDTF">2021-08-31T19:20:22Z</dcterms:created>
  <dcterms:modified xsi:type="dcterms:W3CDTF">2021-09-16T17:54:53Z</dcterms:modified>
</cp:coreProperties>
</file>